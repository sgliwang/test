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96" yWindow="312" windowWidth="20196" windowHeight="10020" tabRatio="988" firstSheet="12" activeTab="18"/>
  </bookViews>
  <sheets>
    <sheet name="q1-122013-022014" sheetId="1" r:id="rId1"/>
    <sheet name="q2-032014-052014" sheetId="2" r:id="rId2"/>
    <sheet name="q3-062014-082014" sheetId="3" r:id="rId3"/>
    <sheet name="q1-092014-112014" sheetId="5" r:id="rId4"/>
    <sheet name="q2-122014-022015" sheetId="6" r:id="rId5"/>
    <sheet name="q3-032015-052015 " sheetId="9" r:id="rId6"/>
    <sheet name="q4-062015-082015" sheetId="10" r:id="rId7"/>
    <sheet name="q1-092015-112015" sheetId="11" r:id="rId8"/>
    <sheet name="q2-122015-02016" sheetId="14" r:id="rId9"/>
    <sheet name="q3-032016-052016" sheetId="13" r:id="rId10"/>
    <sheet name="q4-062016-082016" sheetId="15" r:id="rId11"/>
    <sheet name="q1-092016-112016" sheetId="16" r:id="rId12"/>
    <sheet name="q2-12016-022017" sheetId="17" r:id="rId13"/>
    <sheet name="q3-032017-052017" sheetId="18" r:id="rId14"/>
    <sheet name="q4-062017-082017" sheetId="19" r:id="rId15"/>
    <sheet name="q1-092017-112017" sheetId="20" r:id="rId16"/>
    <sheet name="q2-122017-022018" sheetId="21" r:id="rId17"/>
    <sheet name="q3-032018-052018" sheetId="22" r:id="rId18"/>
    <sheet name="q4-062018-082018" sheetId="23" r:id="rId19"/>
    <sheet name="q1-092018-112018" sheetId="24" r:id="rId20"/>
    <sheet name="payroll" sheetId="4" r:id="rId21"/>
    <sheet name="lease_fees" sheetId="7" r:id="rId22"/>
    <sheet name="6jugstone_mortgage" sheetId="12" r:id="rId23"/>
  </sheets>
  <calcPr calcId="145621"/>
</workbook>
</file>

<file path=xl/calcChain.xml><?xml version="1.0" encoding="utf-8"?>
<calcChain xmlns="http://schemas.openxmlformats.org/spreadsheetml/2006/main">
  <c r="B10" i="24" l="1"/>
  <c r="B11" i="24" s="1"/>
  <c r="B13" i="24" s="1"/>
  <c r="E3" i="24"/>
  <c r="E10" i="24" s="1"/>
  <c r="E4" i="23"/>
  <c r="E5" i="23"/>
  <c r="E6" i="23"/>
  <c r="E7" i="23"/>
  <c r="E8" i="23"/>
  <c r="E11" i="24" l="1"/>
  <c r="H69" i="4"/>
  <c r="N68" i="4"/>
  <c r="F68" i="4"/>
  <c r="N67" i="4"/>
  <c r="F67" i="4" s="1"/>
  <c r="N66" i="4"/>
  <c r="F66" i="4"/>
  <c r="B12" i="22" l="1"/>
  <c r="B13" i="22" s="1"/>
  <c r="B15" i="22" s="1"/>
  <c r="E3" i="23"/>
  <c r="E10" i="23"/>
  <c r="B10" i="23"/>
  <c r="B11" i="23" s="1"/>
  <c r="B13" i="23" s="1"/>
  <c r="E4" i="22"/>
  <c r="E5" i="22"/>
  <c r="E6" i="22"/>
  <c r="E7" i="22"/>
  <c r="E8" i="22"/>
  <c r="E9" i="22"/>
  <c r="E10" i="22"/>
  <c r="E3" i="22"/>
  <c r="E12" i="22" l="1"/>
  <c r="E13" i="22" s="1"/>
  <c r="E11" i="23"/>
  <c r="D10" i="7"/>
  <c r="N17" i="12"/>
  <c r="N16" i="12"/>
  <c r="O60" i="4" l="1"/>
  <c r="O64" i="4"/>
  <c r="F69" i="4"/>
  <c r="N65" i="4"/>
  <c r="F65" i="4"/>
  <c r="N64" i="4"/>
  <c r="F64" i="4" s="1"/>
  <c r="B12" i="21" l="1"/>
  <c r="B10" i="21"/>
  <c r="E7" i="21"/>
  <c r="B9" i="21"/>
  <c r="E8" i="21"/>
  <c r="E6" i="21"/>
  <c r="E5" i="21"/>
  <c r="E4" i="21"/>
  <c r="E3" i="21"/>
  <c r="E9" i="21" l="1"/>
  <c r="E10" i="21" s="1"/>
  <c r="O61" i="4"/>
  <c r="O69" i="4"/>
  <c r="F63" i="4"/>
  <c r="N63" i="4"/>
  <c r="B10" i="20" l="1"/>
  <c r="E9" i="20"/>
  <c r="E8" i="20"/>
  <c r="E7" i="20"/>
  <c r="E6" i="20"/>
  <c r="E5" i="20"/>
  <c r="E4" i="20"/>
  <c r="E3" i="20"/>
  <c r="E10" i="20" l="1"/>
  <c r="B11" i="20"/>
  <c r="B13" i="20" s="1"/>
  <c r="F62" i="4"/>
  <c r="E11" i="20" l="1"/>
  <c r="E7" i="19"/>
  <c r="E10" i="19"/>
  <c r="B17" i="19"/>
  <c r="B18" i="19" s="1"/>
  <c r="B20" i="19" s="1"/>
  <c r="E16" i="19"/>
  <c r="E15" i="19"/>
  <c r="E14" i="19"/>
  <c r="E13" i="19"/>
  <c r="E12" i="19"/>
  <c r="E11" i="19"/>
  <c r="E9" i="19"/>
  <c r="E8" i="19"/>
  <c r="E6" i="19"/>
  <c r="E5" i="19"/>
  <c r="E4" i="19"/>
  <c r="E3" i="19"/>
  <c r="E17" i="19" l="1"/>
  <c r="E18" i="19" s="1"/>
  <c r="N53" i="4"/>
  <c r="B16" i="18" l="1"/>
  <c r="E15" i="18"/>
  <c r="E14" i="18"/>
  <c r="E13" i="18"/>
  <c r="E12" i="18"/>
  <c r="E11" i="18"/>
  <c r="E10" i="18"/>
  <c r="E9" i="18"/>
  <c r="E8" i="18"/>
  <c r="E7" i="18"/>
  <c r="E6" i="18"/>
  <c r="E5" i="18"/>
  <c r="E4" i="18"/>
  <c r="E3" i="18"/>
  <c r="E16" i="18" l="1"/>
  <c r="B17" i="18"/>
  <c r="B19" i="18" s="1"/>
  <c r="N50" i="4"/>
  <c r="E17" i="18" l="1"/>
  <c r="B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E16" i="17" l="1"/>
  <c r="B17" i="17"/>
  <c r="B19" i="17" s="1"/>
  <c r="C10" i="7"/>
  <c r="N13" i="12"/>
  <c r="E17" i="17" l="1"/>
  <c r="M48" i="4"/>
  <c r="K48" i="4"/>
  <c r="J48" i="4"/>
  <c r="H48" i="4"/>
  <c r="B16" i="16" l="1"/>
  <c r="E15" i="16"/>
  <c r="E14" i="16"/>
  <c r="E13" i="16"/>
  <c r="E12" i="16"/>
  <c r="E11" i="16"/>
  <c r="E10" i="16"/>
  <c r="E9" i="16"/>
  <c r="E8" i="16"/>
  <c r="E7" i="16"/>
  <c r="E6" i="16"/>
  <c r="E5" i="16"/>
  <c r="E4" i="16"/>
  <c r="E3" i="16"/>
  <c r="E16" i="16" l="1"/>
  <c r="B17" i="16"/>
  <c r="B19" i="16" s="1"/>
  <c r="C48" i="4"/>
  <c r="F48" i="4"/>
  <c r="B16" i="15"/>
  <c r="B17" i="15" s="1"/>
  <c r="B19" i="15" s="1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E16" i="15" l="1"/>
  <c r="E17" i="16"/>
  <c r="E17" i="15"/>
  <c r="E8" i="13"/>
  <c r="B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16" i="14" l="1"/>
  <c r="B17" i="14"/>
  <c r="B19" i="14" s="1"/>
  <c r="N35" i="4"/>
  <c r="E17" i="14" l="1"/>
  <c r="B16" i="13"/>
  <c r="E15" i="13"/>
  <c r="E14" i="13"/>
  <c r="E13" i="13"/>
  <c r="E12" i="13"/>
  <c r="E11" i="13"/>
  <c r="E10" i="13"/>
  <c r="E9" i="13"/>
  <c r="E7" i="13"/>
  <c r="E6" i="13"/>
  <c r="E5" i="13"/>
  <c r="E4" i="13"/>
  <c r="E3" i="13"/>
  <c r="E16" i="13" l="1"/>
  <c r="B17" i="13"/>
  <c r="B19" i="13" s="1"/>
  <c r="B4" i="7"/>
  <c r="N7" i="12"/>
  <c r="N8" i="12"/>
  <c r="E17" i="13" l="1"/>
  <c r="B10" i="7"/>
  <c r="F3" i="12"/>
  <c r="J31" i="4" l="1"/>
  <c r="J33" i="4" s="1"/>
  <c r="K31" i="4"/>
  <c r="K33" i="4" s="1"/>
  <c r="M33" i="4" l="1"/>
  <c r="N18" i="4"/>
  <c r="M31" i="4"/>
  <c r="H31" i="4"/>
  <c r="H33" i="4" s="1"/>
  <c r="F22" i="5" l="1"/>
  <c r="B16" i="11" l="1"/>
  <c r="B17" i="11" s="1"/>
  <c r="B19" i="11" s="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16" i="11" l="1"/>
  <c r="E17" i="11" s="1"/>
  <c r="E15" i="10"/>
  <c r="E4" i="10" l="1"/>
  <c r="B16" i="10"/>
  <c r="B17" i="10" s="1"/>
  <c r="B19" i="10" s="1"/>
  <c r="E14" i="10"/>
  <c r="E13" i="10"/>
  <c r="E12" i="10"/>
  <c r="E11" i="10"/>
  <c r="E10" i="10"/>
  <c r="E9" i="10"/>
  <c r="E8" i="10"/>
  <c r="E7" i="10"/>
  <c r="E6" i="10"/>
  <c r="E5" i="10"/>
  <c r="E3" i="10"/>
  <c r="E16" i="10" l="1"/>
  <c r="E17" i="10" s="1"/>
  <c r="B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16" i="9" l="1"/>
  <c r="B17" i="9"/>
  <c r="B19" i="9" s="1"/>
  <c r="E17" i="9" l="1"/>
  <c r="O10" i="4"/>
  <c r="O15" i="4" s="1"/>
  <c r="B16" i="6" l="1"/>
  <c r="E15" i="6"/>
  <c r="E14" i="6"/>
  <c r="E13" i="6"/>
  <c r="E12" i="6"/>
  <c r="E11" i="6"/>
  <c r="E10" i="6"/>
  <c r="E9" i="6"/>
  <c r="E8" i="6"/>
  <c r="E7" i="6"/>
  <c r="E6" i="6"/>
  <c r="E5" i="6"/>
  <c r="E4" i="6"/>
  <c r="E3" i="6"/>
  <c r="E16" i="6" l="1"/>
  <c r="B17" i="6"/>
  <c r="B19" i="6" s="1"/>
  <c r="S10" i="4"/>
  <c r="E17" i="6" l="1"/>
  <c r="M10" i="4"/>
  <c r="M15" i="4" s="1"/>
  <c r="R10" i="4"/>
  <c r="R15" i="4" s="1"/>
  <c r="Q10" i="4"/>
  <c r="Q15" i="4" s="1"/>
  <c r="P10" i="4"/>
  <c r="K10" i="4"/>
  <c r="K15" i="4" s="1"/>
  <c r="J10" i="4"/>
  <c r="J15" i="4" s="1"/>
  <c r="I10" i="4"/>
  <c r="T10" i="4" s="1"/>
  <c r="H10" i="4"/>
  <c r="H15" i="4" s="1"/>
  <c r="F10" i="4"/>
  <c r="C10" i="4"/>
  <c r="B16" i="2" l="1"/>
  <c r="E4" i="5" l="1"/>
  <c r="E5" i="5"/>
  <c r="E6" i="5"/>
  <c r="E7" i="5"/>
  <c r="E8" i="5"/>
  <c r="E9" i="5"/>
  <c r="E10" i="5"/>
  <c r="E12" i="5"/>
  <c r="E13" i="5"/>
  <c r="E14" i="5"/>
  <c r="E15" i="5"/>
  <c r="E16" i="5"/>
  <c r="E3" i="5"/>
  <c r="E4" i="3"/>
  <c r="E5" i="3"/>
  <c r="E6" i="3"/>
  <c r="E7" i="3"/>
  <c r="E8" i="3"/>
  <c r="E9" i="3"/>
  <c r="E10" i="3"/>
  <c r="E11" i="3"/>
  <c r="E12" i="3"/>
  <c r="E13" i="3"/>
  <c r="E14" i="3"/>
  <c r="E15" i="3"/>
  <c r="E3" i="3"/>
  <c r="B17" i="5"/>
  <c r="B18" i="5" s="1"/>
  <c r="B20" i="5" s="1"/>
  <c r="E17" i="5" l="1"/>
  <c r="E18" i="5" s="1"/>
  <c r="E16" i="3"/>
  <c r="B16" i="3"/>
  <c r="B19" i="3" l="1"/>
  <c r="B17" i="3"/>
  <c r="E17" i="3"/>
  <c r="B17" i="2"/>
  <c r="E16" i="2"/>
  <c r="B18" i="2"/>
  <c r="B19" i="2" l="1"/>
  <c r="E17" i="2"/>
  <c r="B8" i="1"/>
  <c r="B10" i="1" s="1"/>
  <c r="B9" i="1" l="1"/>
  <c r="B11" i="1" s="1"/>
</calcChain>
</file>

<file path=xl/sharedStrings.xml><?xml version="1.0" encoding="utf-8"?>
<sst xmlns="http://schemas.openxmlformats.org/spreadsheetml/2006/main" count="323" uniqueCount="123">
  <si>
    <t>Period(Quarterly)</t>
  </si>
  <si>
    <t>2014-01-01 - 2014-02-28</t>
  </si>
  <si>
    <t>Taxable Sales(include hst 13%)</t>
  </si>
  <si>
    <t>quick method rate</t>
  </si>
  <si>
    <t>Adjust rate for first 30k</t>
  </si>
  <si>
    <t>HST with qmr</t>
  </si>
  <si>
    <t>Adjust</t>
  </si>
  <si>
    <t>Amout</t>
  </si>
  <si>
    <t>2014-03-01 - 2014-05-31</t>
  </si>
  <si>
    <t>Total</t>
  </si>
  <si>
    <t>2014-06-01 - 2014-08-31</t>
  </si>
  <si>
    <t>2014-09-01 - 2014-11-31</t>
  </si>
  <si>
    <t>Payment Allocation</t>
  </si>
  <si>
    <t xml:space="preserve"> Account Number</t>
  </si>
  <si>
    <t xml:space="preserve"> Gross Payroll</t>
  </si>
  <si>
    <t xml:space="preserve"> Number of Employees</t>
  </si>
  <si>
    <t xml:space="preserve"> End of Period</t>
  </si>
  <si>
    <t xml:space="preserve"> 2014-01</t>
  </si>
  <si>
    <t xml:space="preserve">  2014-02</t>
  </si>
  <si>
    <t xml:space="preserve">  2014-03</t>
  </si>
  <si>
    <t xml:space="preserve">  2014-04</t>
  </si>
  <si>
    <t xml:space="preserve"> 2014-05 </t>
  </si>
  <si>
    <t xml:space="preserve">  2014-06</t>
  </si>
  <si>
    <t xml:space="preserve">  2014-07</t>
  </si>
  <si>
    <t xml:space="preserve">  2014-08</t>
  </si>
  <si>
    <t xml:space="preserve">  2014-09</t>
  </si>
  <si>
    <t xml:space="preserve">  2014-10</t>
  </si>
  <si>
    <t xml:space="preserve"> 2014-11</t>
  </si>
  <si>
    <t xml:space="preserve"> 2014-12</t>
  </si>
  <si>
    <t>2015-01</t>
  </si>
  <si>
    <t>Regular Remittance</t>
  </si>
  <si>
    <t xml:space="preserve"> 847297157 RP 0001</t>
  </si>
  <si>
    <t xml:space="preserve">Regular Remittance </t>
  </si>
  <si>
    <t>847297157 RP 0001</t>
  </si>
  <si>
    <t xml:space="preserve">RegularRemittance  </t>
  </si>
  <si>
    <t>847297157 RP0001</t>
  </si>
  <si>
    <t xml:space="preserve">RegularRemittance </t>
  </si>
  <si>
    <t xml:space="preserve"> 847297157 RP0001 </t>
  </si>
  <si>
    <t>RegularRemittance</t>
  </si>
  <si>
    <t xml:space="preserve">  847297157 RP0001 </t>
  </si>
  <si>
    <t xml:space="preserve">Regular Remittance  </t>
  </si>
  <si>
    <t>Net Pay</t>
  </si>
  <si>
    <t>Total tax deductions</t>
  </si>
  <si>
    <t>CPP deductions</t>
  </si>
  <si>
    <t>CPP deductions (Employer)</t>
  </si>
  <si>
    <t>EMYER PAmount</t>
  </si>
  <si>
    <t>Gross Pay</t>
  </si>
  <si>
    <t>2015-02</t>
  </si>
  <si>
    <t xml:space="preserve"> 847297157RP0001 </t>
  </si>
  <si>
    <t>2014-12-01 - 2015-02-28</t>
  </si>
  <si>
    <t>2015-03</t>
  </si>
  <si>
    <t>2015-04</t>
  </si>
  <si>
    <t>2015-05</t>
  </si>
  <si>
    <t>2015-03-01 - 2015-05-31</t>
  </si>
  <si>
    <t>2015-06</t>
  </si>
  <si>
    <t>Infotek PAY</t>
  </si>
  <si>
    <t>2015-06-01 - 2015-08-31</t>
  </si>
  <si>
    <t>2015-07</t>
  </si>
  <si>
    <t>2015-08</t>
  </si>
  <si>
    <t>2015-09</t>
  </si>
  <si>
    <t>2015-10</t>
  </si>
  <si>
    <t>2015-11</t>
  </si>
  <si>
    <t>2015-09-01 - 2015-11-31</t>
  </si>
  <si>
    <t>2015-12</t>
  </si>
  <si>
    <t xml:space="preserve">1）水电气费； </t>
  </si>
  <si>
    <t xml:space="preserve">2）房屋及设备维修保养费：包括暖气炉、热水器、空调、管道系统等房屋设备设施的维修及保养； </t>
  </si>
  <si>
    <t xml:space="preserve">3）出租使用的设备设施更新购置：主要是出租用的电器等包括：电冰箱、炉具、洗碗机等，按其使用寿命折旧抵减收入； </t>
  </si>
  <si>
    <t xml:space="preserve">4）地税； </t>
  </si>
  <si>
    <t xml:space="preserve">5）房屋贷款利息：每年房屋供款中的利息部分； </t>
  </si>
  <si>
    <t xml:space="preserve">6）房屋保险费； </t>
  </si>
  <si>
    <t xml:space="preserve">7）广告费：每年用于出租业务的各项媒体广告费用； </t>
  </si>
  <si>
    <t>8）其他：包括出租用途的装修等。</t>
  </si>
  <si>
    <t>Payment Date</t>
  </si>
  <si>
    <t>Principal Paid</t>
  </si>
  <si>
    <t>Interest Paid</t>
  </si>
  <si>
    <t>Total Paid</t>
  </si>
  <si>
    <t>Interest Paid:</t>
  </si>
  <si>
    <t>2015-10-01 - 2016-02-29</t>
  </si>
  <si>
    <t>2016-01</t>
  </si>
  <si>
    <t>2016-02</t>
  </si>
  <si>
    <t>2016-03</t>
  </si>
  <si>
    <t>2016-04</t>
  </si>
  <si>
    <t>2016-05</t>
  </si>
  <si>
    <t>2016-06</t>
  </si>
  <si>
    <t>2016-03-01 - 2016-05-31</t>
  </si>
  <si>
    <t>9/23/2016(half)</t>
  </si>
  <si>
    <t>2016-07</t>
  </si>
  <si>
    <t>2016-08</t>
  </si>
  <si>
    <t>2016-09</t>
  </si>
  <si>
    <t>2016-09-01 - 2016-11-31</t>
  </si>
  <si>
    <t>2016-10</t>
  </si>
  <si>
    <t>2016-11</t>
  </si>
  <si>
    <t>2016-12</t>
  </si>
  <si>
    <t>2016-12-01 - 2017-02-28</t>
  </si>
  <si>
    <t>2017-01</t>
  </si>
  <si>
    <t>2017-02</t>
  </si>
  <si>
    <t>2017-03</t>
  </si>
  <si>
    <t>2017-04</t>
  </si>
  <si>
    <t>2017-05</t>
  </si>
  <si>
    <t>2017-06</t>
  </si>
  <si>
    <t>2017-03-01 - 2017-05-31</t>
  </si>
  <si>
    <t>2016-06-01 - 2017-08-31</t>
  </si>
  <si>
    <t>2017-07</t>
  </si>
  <si>
    <t>2017-08</t>
  </si>
  <si>
    <t>2017-09</t>
  </si>
  <si>
    <t>2017-09-01 - 2017-11-31</t>
  </si>
  <si>
    <t>2017-10</t>
  </si>
  <si>
    <t>2017-11</t>
  </si>
  <si>
    <t>2017-12</t>
  </si>
  <si>
    <t>2018-01</t>
  </si>
  <si>
    <t>2017-12-01 - 2018-02-28</t>
  </si>
  <si>
    <t>2018-02</t>
  </si>
  <si>
    <t>2018-03</t>
  </si>
  <si>
    <t>14*30*(52-5)/12</t>
  </si>
  <si>
    <t>Payment Date:</t>
  </si>
  <si>
    <t>Principal Paid:</t>
  </si>
  <si>
    <t>Total Paid:</t>
  </si>
  <si>
    <t>2017-03-01 - 2018-05-31</t>
  </si>
  <si>
    <t>2018-04</t>
  </si>
  <si>
    <t>2018-05</t>
  </si>
  <si>
    <t>2018-06</t>
  </si>
  <si>
    <t>2018-06-01 - 2018-08-31</t>
  </si>
  <si>
    <t>2018-09-01 - 2018-11-31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</si>
</sst>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_);[Red]\(&quot;$&quot;#,##0.00\)"/>
    <numFmt numFmtId="164" formatCode="&quot;$&quot;#,##0.00;[Red]\-&quot;$&quot;#,##0.00"/>
  </numFmts>
  <fonts count="6">
    <font>
      <sz val="11"/>
      <color theme="1"/>
      <name val="Calibri"/>
      <family val="2"/>
      <scheme val="minor"/>
    </font>
    <font>
      <sz val="10"/>
      <color rgb="FF000080"/>
      <name val="TTE1C91EC0t00"/>
    </font>
    <font>
      <sz val="10"/>
      <color rgb="FF1C1C1C"/>
      <name val="Verdana"/>
      <family val="2"/>
    </font>
    <font>
      <sz val="10"/>
      <color theme="1"/>
      <name val="TTE1C91EC0t00"/>
    </font>
    <font>
      <sz val="9"/>
      <color rgb="FF333333"/>
      <name val="Arial"/>
      <family val="2"/>
    </font>
    <font>
      <sz val="8"/>
      <color rgb="FF1C1C1C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E8E8E8"/>
      </right>
      <top/>
      <bottom style="medium">
        <color rgb="FFE8E8E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ECECE"/>
      </left>
      <right/>
      <top/>
      <bottom style="medium">
        <color rgb="FFCECECE"/>
      </bottom>
      <diagonal/>
    </border>
    <border>
      <left style="medium">
        <color rgb="FFFFFFFF"/>
      </left>
      <right/>
      <top/>
      <bottom style="medium">
        <color rgb="FFCECECE"/>
      </bottom>
      <diagonal/>
    </border>
    <border>
      <left style="medium">
        <color rgb="FFFFFFFF"/>
      </left>
      <right style="medium">
        <color rgb="FFCECECE"/>
      </right>
      <top/>
      <bottom style="medium">
        <color rgb="FFCECECE"/>
      </bottom>
      <diagonal/>
    </border>
    <border>
      <left/>
      <right/>
      <top/>
      <bottom style="medium">
        <color rgb="FFCECECE"/>
      </bottom>
      <diagonal/>
    </border>
    <border>
      <left/>
      <right style="medium">
        <color rgb="FFCECECE"/>
      </right>
      <top/>
      <bottom style="medium">
        <color rgb="FFCECECE"/>
      </bottom>
      <diagonal/>
    </border>
  </borders>
  <cellStyleXfs count="1">
    <xf numFmtId="0" fontId="0" fillId="0" borderId="0"/>
  </cellStyleXfs>
  <cellXfs count="69">
    <xf numFmtId="0" fontId="0" fillId="0" borderId="0" xfId="0"/>
    <xf numFmtId="16" fontId="0" fillId="0" borderId="0" xfId="0" applyNumberFormat="1"/>
    <xf numFmtId="0" fontId="0" fillId="2" borderId="0" xfId="0" applyFill="1"/>
    <xf numFmtId="2" fontId="0" fillId="0" borderId="0" xfId="0" applyNumberFormat="1"/>
    <xf numFmtId="0" fontId="0" fillId="3" borderId="0" xfId="0" applyFill="1"/>
    <xf numFmtId="2" fontId="0" fillId="3" borderId="0" xfId="0" applyNumberFormat="1" applyFill="1"/>
    <xf numFmtId="0" fontId="0" fillId="0" borderId="0" xfId="0" applyFill="1"/>
    <xf numFmtId="0" fontId="0" fillId="0" borderId="0" xfId="0" applyAlignment="1">
      <alignment wrapText="1"/>
    </xf>
    <xf numFmtId="8" fontId="0" fillId="0" borderId="0" xfId="0" applyNumberFormat="1"/>
    <xf numFmtId="0" fontId="0" fillId="0" borderId="0" xfId="0" applyAlignment="1"/>
    <xf numFmtId="0" fontId="0" fillId="2" borderId="0" xfId="0" applyFill="1" applyAlignment="1">
      <alignment wrapText="1"/>
    </xf>
    <xf numFmtId="0" fontId="0" fillId="2" borderId="0" xfId="0" applyFill="1" applyAlignment="1"/>
    <xf numFmtId="8" fontId="0" fillId="2" borderId="0" xfId="0" applyNumberForma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4" fontId="0" fillId="0" borderId="0" xfId="0" applyNumberFormat="1" applyBorder="1"/>
    <xf numFmtId="0" fontId="0" fillId="0" borderId="0" xfId="0" applyBorder="1"/>
    <xf numFmtId="0" fontId="0" fillId="0" borderId="5" xfId="0" applyBorder="1"/>
    <xf numFmtId="0" fontId="0" fillId="2" borderId="4" xfId="0" applyFill="1" applyBorder="1"/>
    <xf numFmtId="4" fontId="0" fillId="2" borderId="0" xfId="0" applyNumberFormat="1" applyFill="1" applyBorder="1"/>
    <xf numFmtId="0" fontId="0" fillId="2" borderId="0" xfId="0" applyFill="1" applyBorder="1"/>
    <xf numFmtId="0" fontId="0" fillId="2" borderId="5" xfId="0" applyFill="1" applyBorder="1"/>
    <xf numFmtId="4" fontId="0" fillId="2" borderId="7" xfId="0" applyNumberFormat="1" applyFill="1" applyBorder="1"/>
    <xf numFmtId="0" fontId="0" fillId="2" borderId="7" xfId="0" applyFill="1" applyBorder="1"/>
    <xf numFmtId="4" fontId="0" fillId="0" borderId="2" xfId="0" applyNumberFormat="1" applyBorder="1"/>
    <xf numFmtId="0" fontId="0" fillId="0" borderId="0" xfId="0" applyFill="1" applyAlignment="1"/>
    <xf numFmtId="8" fontId="0" fillId="0" borderId="0" xfId="0" applyNumberFormat="1" applyFill="1"/>
    <xf numFmtId="0" fontId="0" fillId="0" borderId="0" xfId="0" applyFill="1" applyBorder="1"/>
    <xf numFmtId="4" fontId="0" fillId="0" borderId="0" xfId="0" applyNumberFormat="1" applyFill="1" applyBorder="1"/>
    <xf numFmtId="4" fontId="0" fillId="0" borderId="0" xfId="0" applyNumberFormat="1"/>
    <xf numFmtId="0" fontId="1" fillId="0" borderId="0" xfId="0" applyFont="1"/>
    <xf numFmtId="0" fontId="1" fillId="2" borderId="0" xfId="0" applyFont="1" applyFill="1"/>
    <xf numFmtId="15" fontId="2" fillId="4" borderId="9" xfId="0" applyNumberFormat="1" applyFont="1" applyFill="1" applyBorder="1" applyAlignment="1">
      <alignment horizontal="left" vertical="top" wrapText="1"/>
    </xf>
    <xf numFmtId="0" fontId="2" fillId="4" borderId="9" xfId="0" applyFont="1" applyFill="1" applyBorder="1" applyAlignment="1">
      <alignment horizontal="left" vertical="top" wrapText="1"/>
    </xf>
    <xf numFmtId="0" fontId="2" fillId="4" borderId="9" xfId="0" applyFont="1" applyFill="1" applyBorder="1" applyAlignment="1">
      <alignment horizontal="right" vertical="top" wrapText="1"/>
    </xf>
    <xf numFmtId="4" fontId="2" fillId="4" borderId="9" xfId="0" applyNumberFormat="1" applyFont="1" applyFill="1" applyBorder="1" applyAlignment="1">
      <alignment horizontal="right" vertical="top" wrapText="1"/>
    </xf>
    <xf numFmtId="0" fontId="0" fillId="0" borderId="10" xfId="0" applyBorder="1"/>
    <xf numFmtId="0" fontId="0" fillId="2" borderId="10" xfId="0" applyFill="1" applyBorder="1"/>
    <xf numFmtId="0" fontId="0" fillId="0" borderId="11" xfId="0" applyBorder="1"/>
    <xf numFmtId="0" fontId="0" fillId="0" borderId="11" xfId="0" applyFill="1" applyBorder="1"/>
    <xf numFmtId="0" fontId="0" fillId="0" borderId="10" xfId="0" applyFill="1" applyBorder="1"/>
    <xf numFmtId="0" fontId="1" fillId="0" borderId="11" xfId="0" applyFont="1" applyFill="1" applyBorder="1"/>
    <xf numFmtId="0" fontId="1" fillId="2" borderId="11" xfId="0" applyFont="1" applyFill="1" applyBorder="1"/>
    <xf numFmtId="0" fontId="0" fillId="5" borderId="0" xfId="0" applyFill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0" borderId="4" xfId="0" applyBorder="1" applyAlignment="1">
      <alignment wrapText="1"/>
    </xf>
    <xf numFmtId="0" fontId="3" fillId="0" borderId="0" xfId="0" applyFont="1"/>
    <xf numFmtId="14" fontId="0" fillId="2" borderId="0" xfId="0" applyNumberFormat="1" applyFill="1"/>
    <xf numFmtId="8" fontId="4" fillId="4" borderId="12" xfId="0" applyNumberFormat="1" applyFont="1" applyFill="1" applyBorder="1" applyAlignment="1">
      <alignment horizontal="right" vertical="top"/>
    </xf>
    <xf numFmtId="8" fontId="4" fillId="4" borderId="13" xfId="0" applyNumberFormat="1" applyFont="1" applyFill="1" applyBorder="1" applyAlignment="1">
      <alignment horizontal="right" vertical="top"/>
    </xf>
    <xf numFmtId="8" fontId="4" fillId="4" borderId="14" xfId="0" applyNumberFormat="1" applyFont="1" applyFill="1" applyBorder="1" applyAlignment="1">
      <alignment horizontal="right" vertical="top"/>
    </xf>
    <xf numFmtId="8" fontId="4" fillId="4" borderId="15" xfId="0" applyNumberFormat="1" applyFont="1" applyFill="1" applyBorder="1" applyAlignment="1">
      <alignment horizontal="right" vertical="top"/>
    </xf>
    <xf numFmtId="8" fontId="4" fillId="4" borderId="16" xfId="0" applyNumberFormat="1" applyFont="1" applyFill="1" applyBorder="1" applyAlignment="1">
      <alignment horizontal="right" vertical="top"/>
    </xf>
    <xf numFmtId="0" fontId="4" fillId="4" borderId="12" xfId="0" applyFont="1" applyFill="1" applyBorder="1" applyAlignment="1">
      <alignment horizontal="right" vertical="top"/>
    </xf>
    <xf numFmtId="4" fontId="0" fillId="0" borderId="0" xfId="0" applyNumberFormat="1" applyFill="1"/>
    <xf numFmtId="4" fontId="5" fillId="0" borderId="0" xfId="0" applyNumberFormat="1" applyFont="1"/>
    <xf numFmtId="4" fontId="3" fillId="0" borderId="0" xfId="0" applyNumberFormat="1" applyFont="1"/>
    <xf numFmtId="4" fontId="0" fillId="3" borderId="0" xfId="0" applyNumberFormat="1" applyFill="1"/>
    <xf numFmtId="164" fontId="0" fillId="0" borderId="0" xfId="0" applyNumberFormat="1"/>
    <xf numFmtId="15" fontId="0" fillId="2" borderId="0" xfId="0" applyNumberFormat="1" applyFill="1"/>
    <xf numFmtId="0" fontId="0" fillId="0" borderId="0" xfId="0" applyAlignment="1">
      <alignment horizontal="left"/>
    </xf>
    <xf numFmtId="8" fontId="0" fillId="0" borderId="0" xfId="0" applyNumberFormat="1" applyAlignment="1">
      <alignment horizontal="left"/>
    </xf>
    <xf numFmtId="8" fontId="4" fillId="4" borderId="13" xfId="0" applyNumberFormat="1" applyFont="1" applyFill="1" applyBorder="1" applyAlignment="1">
      <alignment horizontal="left" vertical="top"/>
    </xf>
    <xf numFmtId="8" fontId="4" fillId="4" borderId="15" xfId="0" applyNumberFormat="1" applyFont="1" applyFill="1" applyBorder="1" applyAlignment="1">
      <alignment horizontal="left" vertical="top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B10" sqref="B10"/>
    </sheetView>
  </sheetViews>
  <sheetFormatPr defaultRowHeight="14.4"/>
  <cols>
    <col min="1" max="1" width="24.33203125" customWidth="1"/>
    <col min="2" max="2" width="30.5546875" customWidth="1"/>
    <col min="3" max="3" width="24.109375" customWidth="1"/>
    <col min="4" max="4" width="26.88671875" customWidth="1"/>
  </cols>
  <sheetData>
    <row r="1" spans="1:4">
      <c r="A1" t="s">
        <v>0</v>
      </c>
      <c r="B1" t="s">
        <v>2</v>
      </c>
      <c r="C1" t="s">
        <v>3</v>
      </c>
      <c r="D1" t="s">
        <v>4</v>
      </c>
    </row>
    <row r="2" spans="1:4">
      <c r="A2" t="s">
        <v>1</v>
      </c>
      <c r="C2">
        <v>8.7999999999999995E-2</v>
      </c>
      <c r="D2">
        <v>0.01</v>
      </c>
    </row>
    <row r="3" spans="1:4">
      <c r="A3" s="1">
        <v>41670</v>
      </c>
      <c r="B3">
        <v>2873.03</v>
      </c>
    </row>
    <row r="4" spans="1:4">
      <c r="A4" s="1">
        <v>41677</v>
      </c>
      <c r="B4">
        <v>2873.03</v>
      </c>
    </row>
    <row r="5" spans="1:4">
      <c r="A5" s="1">
        <v>41684</v>
      </c>
      <c r="B5">
        <v>2873.03</v>
      </c>
    </row>
    <row r="6" spans="1:4">
      <c r="A6" s="1">
        <v>41691</v>
      </c>
      <c r="B6" s="2">
        <v>2298.42</v>
      </c>
    </row>
    <row r="7" spans="1:4">
      <c r="A7" s="1">
        <v>41698</v>
      </c>
      <c r="B7">
        <v>2873.03</v>
      </c>
    </row>
    <row r="8" spans="1:4">
      <c r="B8">
        <f>SUM(B3:B7)</f>
        <v>13790.54</v>
      </c>
    </row>
    <row r="9" spans="1:4">
      <c r="A9" t="s">
        <v>5</v>
      </c>
      <c r="B9">
        <f>B8*C2</f>
        <v>1213.5675200000001</v>
      </c>
    </row>
    <row r="10" spans="1:4">
      <c r="A10" t="s">
        <v>6</v>
      </c>
      <c r="B10">
        <f>B8*D2</f>
        <v>137.90540000000001</v>
      </c>
    </row>
    <row r="11" spans="1:4">
      <c r="A11" t="s">
        <v>7</v>
      </c>
      <c r="B11">
        <f>B9-B10</f>
        <v>1075.66212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B18" sqref="B18"/>
    </sheetView>
  </sheetViews>
  <sheetFormatPr defaultRowHeight="14.4"/>
  <cols>
    <col min="1" max="1" width="27.6640625" customWidth="1"/>
    <col min="2" max="2" width="33.109375" customWidth="1"/>
    <col min="3" max="3" width="24.109375" customWidth="1"/>
    <col min="4" max="4" width="21.109375" customWidth="1"/>
  </cols>
  <sheetData>
    <row r="1" spans="1:5">
      <c r="A1" t="s">
        <v>0</v>
      </c>
      <c r="B1" t="s">
        <v>2</v>
      </c>
      <c r="C1" t="s">
        <v>3</v>
      </c>
      <c r="D1" t="s">
        <v>4</v>
      </c>
    </row>
    <row r="2" spans="1:5">
      <c r="A2" t="s">
        <v>8</v>
      </c>
      <c r="C2">
        <v>8.7999999999999995E-2</v>
      </c>
      <c r="D2">
        <v>0.01</v>
      </c>
    </row>
    <row r="3" spans="1:5">
      <c r="A3" s="1">
        <v>41705</v>
      </c>
      <c r="B3">
        <v>2873.03</v>
      </c>
      <c r="E3">
        <v>2542.5</v>
      </c>
    </row>
    <row r="4" spans="1:5">
      <c r="A4" s="1">
        <v>41712</v>
      </c>
      <c r="B4">
        <v>2873.03</v>
      </c>
      <c r="E4">
        <v>2542.5</v>
      </c>
    </row>
    <row r="5" spans="1:5">
      <c r="A5" s="1">
        <v>41719</v>
      </c>
      <c r="B5">
        <v>2873.03</v>
      </c>
      <c r="E5">
        <v>2542.5</v>
      </c>
    </row>
    <row r="6" spans="1:5">
      <c r="A6" s="1">
        <v>41726</v>
      </c>
      <c r="B6" s="2">
        <v>2298.42</v>
      </c>
      <c r="C6">
        <v>2873.03</v>
      </c>
      <c r="E6">
        <v>2034</v>
      </c>
    </row>
    <row r="7" spans="1:5">
      <c r="A7" s="1">
        <v>41733</v>
      </c>
      <c r="B7">
        <v>2873.03</v>
      </c>
      <c r="E7">
        <v>2542.5</v>
      </c>
    </row>
    <row r="8" spans="1:5">
      <c r="A8" s="1">
        <v>41740</v>
      </c>
      <c r="B8">
        <v>2873.03</v>
      </c>
      <c r="E8">
        <v>2542.5</v>
      </c>
    </row>
    <row r="9" spans="1:5">
      <c r="A9" s="1">
        <v>41747</v>
      </c>
      <c r="B9" s="2">
        <v>2298.42</v>
      </c>
      <c r="E9">
        <v>2034</v>
      </c>
    </row>
    <row r="10" spans="1:5">
      <c r="A10" s="1">
        <v>41754</v>
      </c>
      <c r="B10">
        <v>2873.03</v>
      </c>
      <c r="E10">
        <v>2542.5</v>
      </c>
    </row>
    <row r="11" spans="1:5">
      <c r="A11" s="1">
        <v>41761</v>
      </c>
      <c r="B11">
        <v>2873.03</v>
      </c>
      <c r="E11">
        <v>2542.5</v>
      </c>
    </row>
    <row r="12" spans="1:5">
      <c r="A12" s="1">
        <v>41768</v>
      </c>
      <c r="B12">
        <v>2873.03</v>
      </c>
      <c r="E12">
        <v>2542.5</v>
      </c>
    </row>
    <row r="13" spans="1:5">
      <c r="A13" s="1">
        <v>41775</v>
      </c>
      <c r="B13">
        <v>2873.03</v>
      </c>
      <c r="E13">
        <v>2542.5</v>
      </c>
    </row>
    <row r="14" spans="1:5">
      <c r="A14" s="1">
        <v>41782</v>
      </c>
      <c r="B14" s="2">
        <v>2298.42</v>
      </c>
      <c r="E14">
        <v>2034</v>
      </c>
    </row>
    <row r="15" spans="1:5">
      <c r="A15" s="1">
        <v>41789</v>
      </c>
      <c r="B15">
        <v>2873.03</v>
      </c>
      <c r="E15">
        <v>2542.5</v>
      </c>
    </row>
    <row r="16" spans="1:5">
      <c r="A16" s="1" t="s">
        <v>9</v>
      </c>
      <c r="B16" s="4">
        <f>SUM(B3:B15)</f>
        <v>35625.55999999999</v>
      </c>
      <c r="E16">
        <f>SUM(E3:E15)</f>
        <v>31527</v>
      </c>
    </row>
    <row r="17" spans="1:5">
      <c r="A17" t="s">
        <v>5</v>
      </c>
      <c r="B17" s="3">
        <f>B16*C2</f>
        <v>3135.0492799999988</v>
      </c>
      <c r="E17" s="3">
        <f>B16-E16-B17</f>
        <v>963.51071999999158</v>
      </c>
    </row>
    <row r="18" spans="1:5">
      <c r="A18" t="s">
        <v>6</v>
      </c>
      <c r="B18" s="3">
        <f>(30000-13790.54)*D2</f>
        <v>162.09459999999999</v>
      </c>
    </row>
    <row r="19" spans="1:5">
      <c r="A19" t="s">
        <v>7</v>
      </c>
      <c r="B19" s="5">
        <f>B17-B18</f>
        <v>2972.9546799999989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B20" sqref="B20"/>
    </sheetView>
  </sheetViews>
  <sheetFormatPr defaultRowHeight="14.4"/>
  <cols>
    <col min="1" max="1" width="25.5546875" customWidth="1"/>
    <col min="2" max="2" width="26.6640625" customWidth="1"/>
    <col min="3" max="3" width="11.109375" customWidth="1"/>
    <col min="4" max="4" width="15.6640625" customWidth="1"/>
  </cols>
  <sheetData>
    <row r="1" spans="1:5">
      <c r="A1" t="s">
        <v>0</v>
      </c>
      <c r="B1" t="s">
        <v>2</v>
      </c>
      <c r="C1" t="s">
        <v>3</v>
      </c>
      <c r="D1" t="s">
        <v>4</v>
      </c>
    </row>
    <row r="2" spans="1:5">
      <c r="A2" t="s">
        <v>10</v>
      </c>
      <c r="C2">
        <v>8.7999999999999995E-2</v>
      </c>
      <c r="D2">
        <v>0.01</v>
      </c>
    </row>
    <row r="3" spans="1:5">
      <c r="A3" s="1">
        <v>41796</v>
      </c>
      <c r="B3">
        <v>2873.03</v>
      </c>
      <c r="E3">
        <f>B3/1.13</f>
        <v>2542.5044247787614</v>
      </c>
    </row>
    <row r="4" spans="1:5">
      <c r="A4" s="1">
        <v>41803</v>
      </c>
      <c r="B4">
        <v>2873.03</v>
      </c>
      <c r="E4">
        <f t="shared" ref="E4:E15" si="0">B4/1.13</f>
        <v>2542.5044247787614</v>
      </c>
    </row>
    <row r="5" spans="1:5">
      <c r="A5" s="1">
        <v>41810</v>
      </c>
      <c r="B5" s="6">
        <v>2873.03</v>
      </c>
      <c r="E5">
        <f t="shared" si="0"/>
        <v>2542.5044247787614</v>
      </c>
    </row>
    <row r="6" spans="1:5">
      <c r="A6" s="1">
        <v>41817</v>
      </c>
      <c r="B6" s="6">
        <v>2873.03</v>
      </c>
      <c r="E6">
        <f t="shared" si="0"/>
        <v>2542.5044247787614</v>
      </c>
    </row>
    <row r="7" spans="1:5">
      <c r="A7" s="1">
        <v>41824</v>
      </c>
      <c r="B7" s="2">
        <v>2298.42</v>
      </c>
      <c r="E7">
        <f t="shared" si="0"/>
        <v>2034.0000000000002</v>
      </c>
    </row>
    <row r="8" spans="1:5">
      <c r="A8" s="1">
        <v>41831</v>
      </c>
      <c r="B8">
        <v>2873.03</v>
      </c>
      <c r="E8">
        <f t="shared" si="0"/>
        <v>2542.5044247787614</v>
      </c>
    </row>
    <row r="9" spans="1:5">
      <c r="A9" s="1">
        <v>41838</v>
      </c>
      <c r="B9" s="6">
        <v>2873.03</v>
      </c>
      <c r="E9">
        <f t="shared" si="0"/>
        <v>2542.5044247787614</v>
      </c>
    </row>
    <row r="10" spans="1:5">
      <c r="A10" s="1">
        <v>41845</v>
      </c>
      <c r="B10">
        <v>2873.03</v>
      </c>
      <c r="E10">
        <f t="shared" si="0"/>
        <v>2542.5044247787614</v>
      </c>
    </row>
    <row r="11" spans="1:5">
      <c r="A11" s="1">
        <v>41852</v>
      </c>
      <c r="B11">
        <v>2873.03</v>
      </c>
      <c r="E11">
        <f t="shared" si="0"/>
        <v>2542.5044247787614</v>
      </c>
    </row>
    <row r="12" spans="1:5">
      <c r="A12" s="1">
        <v>41859</v>
      </c>
      <c r="B12" s="2">
        <v>2298.42</v>
      </c>
      <c r="E12">
        <f t="shared" si="0"/>
        <v>2034.0000000000002</v>
      </c>
    </row>
    <row r="13" spans="1:5">
      <c r="A13" s="1">
        <v>41866</v>
      </c>
      <c r="B13">
        <v>2873.03</v>
      </c>
      <c r="E13">
        <f t="shared" si="0"/>
        <v>2542.5044247787614</v>
      </c>
    </row>
    <row r="14" spans="1:5">
      <c r="A14" s="1">
        <v>41873</v>
      </c>
      <c r="B14" s="6">
        <v>2873.03</v>
      </c>
      <c r="E14">
        <f t="shared" si="0"/>
        <v>2542.5044247787614</v>
      </c>
    </row>
    <row r="15" spans="1:5">
      <c r="A15" s="1">
        <v>41880</v>
      </c>
      <c r="B15">
        <v>2873.03</v>
      </c>
      <c r="E15">
        <f t="shared" si="0"/>
        <v>2542.5044247787614</v>
      </c>
    </row>
    <row r="16" spans="1:5">
      <c r="A16" s="1" t="s">
        <v>9</v>
      </c>
      <c r="B16" s="4">
        <f>SUM(B3:B15)</f>
        <v>36200.169999999991</v>
      </c>
      <c r="E16">
        <f>SUM(E3:E15)</f>
        <v>32035.548672566383</v>
      </c>
    </row>
    <row r="17" spans="1:5">
      <c r="A17" t="s">
        <v>5</v>
      </c>
      <c r="B17" s="3">
        <f>B16*C2</f>
        <v>3185.614959999999</v>
      </c>
      <c r="E17" s="3">
        <f>B16-E16-B17</f>
        <v>979.00636743360883</v>
      </c>
    </row>
    <row r="18" spans="1:5">
      <c r="A18" t="s">
        <v>6</v>
      </c>
      <c r="B18" s="3"/>
    </row>
    <row r="19" spans="1:5">
      <c r="A19" t="s">
        <v>7</v>
      </c>
      <c r="B19" s="5">
        <f>B17-B18</f>
        <v>3185.614959999999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opLeftCell="A4" workbookViewId="0">
      <selection activeCell="C24" sqref="C24"/>
    </sheetView>
  </sheetViews>
  <sheetFormatPr defaultRowHeight="14.4"/>
  <cols>
    <col min="1" max="1" width="25.5546875" customWidth="1"/>
    <col min="2" max="2" width="28.88671875" customWidth="1"/>
    <col min="3" max="3" width="10.109375" customWidth="1"/>
    <col min="4" max="4" width="26.88671875" customWidth="1"/>
    <col min="5" max="5" width="14.109375" customWidth="1"/>
  </cols>
  <sheetData>
    <row r="1" spans="1:5">
      <c r="A1" t="s">
        <v>0</v>
      </c>
      <c r="B1" t="s">
        <v>2</v>
      </c>
      <c r="C1" t="s">
        <v>3</v>
      </c>
      <c r="D1" t="s">
        <v>4</v>
      </c>
    </row>
    <row r="2" spans="1:5">
      <c r="A2" t="s">
        <v>11</v>
      </c>
      <c r="C2">
        <v>8.7999999999999995E-2</v>
      </c>
      <c r="D2">
        <v>0.01</v>
      </c>
    </row>
    <row r="3" spans="1:5">
      <c r="A3" s="1">
        <v>41887</v>
      </c>
      <c r="B3" s="2">
        <v>2298.42</v>
      </c>
      <c r="E3">
        <f>B3/1.13</f>
        <v>2034.0000000000002</v>
      </c>
    </row>
    <row r="4" spans="1:5">
      <c r="A4" s="1">
        <v>41894</v>
      </c>
      <c r="B4">
        <v>2873.03</v>
      </c>
      <c r="E4">
        <f t="shared" ref="E4:E16" si="0">B4/1.13</f>
        <v>2542.5044247787614</v>
      </c>
    </row>
    <row r="5" spans="1:5">
      <c r="A5" s="1">
        <v>41901</v>
      </c>
      <c r="B5" s="6">
        <v>2873.03</v>
      </c>
      <c r="E5">
        <f t="shared" si="0"/>
        <v>2542.5044247787614</v>
      </c>
    </row>
    <row r="6" spans="1:5">
      <c r="A6" s="1">
        <v>41908</v>
      </c>
      <c r="B6" s="6">
        <v>2873.03</v>
      </c>
      <c r="E6">
        <f t="shared" si="0"/>
        <v>2542.5044247787614</v>
      </c>
    </row>
    <row r="7" spans="1:5">
      <c r="A7" s="1">
        <v>41915</v>
      </c>
      <c r="B7" s="6">
        <v>2873.03</v>
      </c>
      <c r="E7">
        <f t="shared" si="0"/>
        <v>2542.5044247787614</v>
      </c>
    </row>
    <row r="8" spans="1:5">
      <c r="A8" s="1">
        <v>41922</v>
      </c>
      <c r="B8">
        <v>2873.03</v>
      </c>
      <c r="E8">
        <f t="shared" si="0"/>
        <v>2542.5044247787614</v>
      </c>
    </row>
    <row r="9" spans="1:5">
      <c r="A9" s="1">
        <v>41929</v>
      </c>
      <c r="B9" s="2">
        <v>2298.42</v>
      </c>
      <c r="E9">
        <f t="shared" si="0"/>
        <v>2034.0000000000002</v>
      </c>
    </row>
    <row r="10" spans="1:5">
      <c r="A10" s="1">
        <v>41936</v>
      </c>
      <c r="B10">
        <v>2873.03</v>
      </c>
      <c r="E10">
        <f t="shared" si="0"/>
        <v>2542.5044247787614</v>
      </c>
    </row>
    <row r="11" spans="1:5">
      <c r="A11" s="1"/>
      <c r="B11" s="2"/>
    </row>
    <row r="12" spans="1:5">
      <c r="A12" s="1">
        <v>41943</v>
      </c>
      <c r="B12" s="2">
        <v>3447.63</v>
      </c>
      <c r="E12">
        <f t="shared" si="0"/>
        <v>3051.0000000000005</v>
      </c>
    </row>
    <row r="13" spans="1:5">
      <c r="A13" s="1">
        <v>41950</v>
      </c>
      <c r="B13" s="2">
        <v>3217.79</v>
      </c>
      <c r="E13">
        <f t="shared" si="0"/>
        <v>2847.6017699115046</v>
      </c>
    </row>
    <row r="14" spans="1:5">
      <c r="A14" s="1">
        <v>41957</v>
      </c>
      <c r="B14" s="2">
        <v>2834.72</v>
      </c>
      <c r="E14">
        <f t="shared" si="0"/>
        <v>2508.6017699115046</v>
      </c>
    </row>
    <row r="15" spans="1:5">
      <c r="A15" s="1">
        <v>41964</v>
      </c>
      <c r="B15">
        <v>2873.03</v>
      </c>
      <c r="E15">
        <f t="shared" si="0"/>
        <v>2542.5044247787614</v>
      </c>
    </row>
    <row r="16" spans="1:5">
      <c r="A16" s="1">
        <v>41971</v>
      </c>
      <c r="B16" s="6">
        <v>2873.03</v>
      </c>
      <c r="E16">
        <f t="shared" si="0"/>
        <v>2542.5044247787614</v>
      </c>
    </row>
    <row r="17" spans="1:6">
      <c r="A17" s="1" t="s">
        <v>9</v>
      </c>
      <c r="B17" s="4">
        <f>SUM(B3:B16)</f>
        <v>37081.220000000008</v>
      </c>
      <c r="E17">
        <f>SUM(E3:E16)</f>
        <v>32815.238938053102</v>
      </c>
    </row>
    <row r="18" spans="1:6">
      <c r="A18" t="s">
        <v>5</v>
      </c>
      <c r="B18" s="3">
        <f>B17*C2</f>
        <v>3263.1473600000004</v>
      </c>
      <c r="E18" s="3">
        <f>B17-E17-B18</f>
        <v>1002.8337019469059</v>
      </c>
    </row>
    <row r="19" spans="1:6">
      <c r="A19" t="s">
        <v>6</v>
      </c>
      <c r="B19" s="3">
        <v>300</v>
      </c>
    </row>
    <row r="20" spans="1:6">
      <c r="A20" t="s">
        <v>7</v>
      </c>
      <c r="B20" s="5">
        <f>B18-B19</f>
        <v>2963.1473600000004</v>
      </c>
    </row>
    <row r="22" spans="1:6">
      <c r="B22">
        <v>40528.85</v>
      </c>
      <c r="C22">
        <v>35941.49</v>
      </c>
      <c r="D22">
        <v>38086.65</v>
      </c>
      <c r="E22">
        <v>38798.550000000003</v>
      </c>
      <c r="F22">
        <f>SUM(B22:E22)</f>
        <v>153355.53999999998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B16" sqref="B16"/>
    </sheetView>
  </sheetViews>
  <sheetFormatPr defaultRowHeight="14.4"/>
  <cols>
    <col min="1" max="1" width="25.5546875" customWidth="1"/>
    <col min="2" max="2" width="30.88671875" customWidth="1"/>
    <col min="3" max="3" width="11.44140625" customWidth="1"/>
    <col min="4" max="4" width="26.88671875" customWidth="1"/>
    <col min="5" max="5" width="14.109375" customWidth="1"/>
  </cols>
  <sheetData>
    <row r="1" spans="1:5">
      <c r="A1" t="s">
        <v>0</v>
      </c>
      <c r="B1" t="s">
        <v>2</v>
      </c>
      <c r="C1" t="s">
        <v>3</v>
      </c>
      <c r="D1" t="s">
        <v>4</v>
      </c>
    </row>
    <row r="2" spans="1:5">
      <c r="A2" t="s">
        <v>49</v>
      </c>
      <c r="C2">
        <v>8.7999999999999995E-2</v>
      </c>
      <c r="D2">
        <v>0.01</v>
      </c>
    </row>
    <row r="3" spans="1:5">
      <c r="A3" s="1">
        <v>41978</v>
      </c>
      <c r="B3" s="2">
        <v>2949.64</v>
      </c>
      <c r="E3">
        <f>B3/1.13</f>
        <v>2610.3008849557523</v>
      </c>
    </row>
    <row r="4" spans="1:5">
      <c r="A4" s="1">
        <v>41985</v>
      </c>
      <c r="B4">
        <v>2873.03</v>
      </c>
      <c r="E4">
        <f t="shared" ref="E4:E15" si="0">B4/1.13</f>
        <v>2542.5044247787614</v>
      </c>
    </row>
    <row r="5" spans="1:5">
      <c r="A5" s="1">
        <v>41992</v>
      </c>
      <c r="B5" s="6">
        <v>2873.03</v>
      </c>
      <c r="E5">
        <f t="shared" si="0"/>
        <v>2542.5044247787614</v>
      </c>
    </row>
    <row r="6" spans="1:5">
      <c r="A6" s="1">
        <v>41999</v>
      </c>
      <c r="B6" s="2">
        <v>1723.82</v>
      </c>
      <c r="E6">
        <f t="shared" si="0"/>
        <v>1525.5044247787612</v>
      </c>
    </row>
    <row r="7" spans="1:5">
      <c r="A7" s="1">
        <v>42006</v>
      </c>
      <c r="B7" s="2">
        <v>2298.42</v>
      </c>
      <c r="E7">
        <f t="shared" si="0"/>
        <v>2034.0000000000002</v>
      </c>
    </row>
    <row r="8" spans="1:5">
      <c r="A8" s="1">
        <v>42013</v>
      </c>
      <c r="B8">
        <v>2873.03</v>
      </c>
      <c r="E8">
        <f t="shared" si="0"/>
        <v>2542.5044247787614</v>
      </c>
    </row>
    <row r="9" spans="1:5">
      <c r="A9" s="1">
        <v>42020</v>
      </c>
      <c r="B9" s="6">
        <v>2873.03</v>
      </c>
      <c r="E9">
        <f t="shared" si="0"/>
        <v>2542.5044247787614</v>
      </c>
    </row>
    <row r="10" spans="1:5">
      <c r="A10" s="1">
        <v>42027</v>
      </c>
      <c r="B10" s="33">
        <v>3332.71</v>
      </c>
      <c r="E10">
        <f t="shared" si="0"/>
        <v>2949.3008849557527</v>
      </c>
    </row>
    <row r="11" spans="1:5">
      <c r="A11" s="1">
        <v>42034</v>
      </c>
      <c r="B11" s="6">
        <v>2873.03</v>
      </c>
      <c r="E11">
        <f t="shared" si="0"/>
        <v>2542.5044247787614</v>
      </c>
    </row>
    <row r="12" spans="1:5">
      <c r="A12" s="1">
        <v>42041</v>
      </c>
      <c r="B12" s="32">
        <v>2966.25</v>
      </c>
      <c r="E12">
        <f t="shared" si="0"/>
        <v>2625.0000000000005</v>
      </c>
    </row>
    <row r="13" spans="1:5">
      <c r="A13" s="1">
        <v>42048</v>
      </c>
      <c r="B13" s="6">
        <v>2966.25</v>
      </c>
      <c r="E13">
        <f t="shared" si="0"/>
        <v>2625.0000000000005</v>
      </c>
    </row>
    <row r="14" spans="1:5">
      <c r="A14" s="1">
        <v>42055</v>
      </c>
      <c r="B14" s="33">
        <v>2373</v>
      </c>
      <c r="E14">
        <f t="shared" si="0"/>
        <v>2100</v>
      </c>
    </row>
    <row r="15" spans="1:5">
      <c r="A15" s="1">
        <v>42062</v>
      </c>
      <c r="B15">
        <v>2966.25</v>
      </c>
      <c r="E15">
        <f t="shared" si="0"/>
        <v>2625.0000000000005</v>
      </c>
    </row>
    <row r="16" spans="1:5">
      <c r="A16" s="1" t="s">
        <v>9</v>
      </c>
      <c r="B16" s="4">
        <f>SUM(B3:B15)</f>
        <v>35941.49</v>
      </c>
      <c r="E16">
        <f>SUM(E3:E15)</f>
        <v>31806.628318584073</v>
      </c>
    </row>
    <row r="17" spans="1:5">
      <c r="A17" t="s">
        <v>5</v>
      </c>
      <c r="B17" s="3">
        <f>B16*C2</f>
        <v>3162.8511199999998</v>
      </c>
      <c r="E17" s="3">
        <f>B16-E16-B17</f>
        <v>972.01056141592517</v>
      </c>
    </row>
    <row r="18" spans="1:5">
      <c r="A18" t="s">
        <v>6</v>
      </c>
      <c r="B18" s="3"/>
    </row>
    <row r="19" spans="1:5">
      <c r="A19" t="s">
        <v>7</v>
      </c>
      <c r="B19" s="5">
        <f>B17-B18</f>
        <v>3162.8511199999998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B18" sqref="B18"/>
    </sheetView>
  </sheetViews>
  <sheetFormatPr defaultRowHeight="14.4"/>
  <cols>
    <col min="1" max="1" width="26.6640625" customWidth="1"/>
    <col min="2" max="2" width="31.5546875" customWidth="1"/>
    <col min="3" max="3" width="12.44140625" customWidth="1"/>
    <col min="4" max="4" width="27" customWidth="1"/>
    <col min="5" max="5" width="14.5546875" customWidth="1"/>
  </cols>
  <sheetData>
    <row r="1" spans="1:5">
      <c r="A1" t="s">
        <v>0</v>
      </c>
      <c r="B1" t="s">
        <v>2</v>
      </c>
      <c r="C1" t="s">
        <v>3</v>
      </c>
      <c r="D1" t="s">
        <v>4</v>
      </c>
    </row>
    <row r="2" spans="1:5">
      <c r="A2" t="s">
        <v>53</v>
      </c>
      <c r="C2">
        <v>8.7999999999999995E-2</v>
      </c>
      <c r="D2">
        <v>0.01</v>
      </c>
    </row>
    <row r="3" spans="1:5">
      <c r="A3" s="1">
        <v>42069</v>
      </c>
      <c r="B3" s="6">
        <v>2966.25</v>
      </c>
      <c r="E3">
        <f>B3/1.13</f>
        <v>2625.0000000000005</v>
      </c>
    </row>
    <row r="4" spans="1:5">
      <c r="A4" s="1">
        <v>42076</v>
      </c>
      <c r="B4" s="6">
        <v>2966.25</v>
      </c>
      <c r="E4">
        <f t="shared" ref="E4:E15" si="0">B4/1.13</f>
        <v>2625.0000000000005</v>
      </c>
    </row>
    <row r="5" spans="1:5">
      <c r="A5" s="1">
        <v>42083</v>
      </c>
      <c r="B5" s="6">
        <v>2966.25</v>
      </c>
      <c r="E5">
        <f t="shared" si="0"/>
        <v>2625.0000000000005</v>
      </c>
    </row>
    <row r="6" spans="1:5">
      <c r="A6" s="1">
        <v>42090</v>
      </c>
      <c r="B6" s="6">
        <v>2966.25</v>
      </c>
      <c r="E6">
        <f t="shared" si="0"/>
        <v>2625.0000000000005</v>
      </c>
    </row>
    <row r="7" spans="1:5">
      <c r="A7" s="1">
        <v>42097</v>
      </c>
      <c r="B7" s="2">
        <v>2373</v>
      </c>
      <c r="E7">
        <f t="shared" si="0"/>
        <v>2100</v>
      </c>
    </row>
    <row r="8" spans="1:5">
      <c r="A8" s="1">
        <v>42104</v>
      </c>
      <c r="B8">
        <v>2966.25</v>
      </c>
      <c r="E8">
        <f t="shared" si="0"/>
        <v>2625.0000000000005</v>
      </c>
    </row>
    <row r="9" spans="1:5">
      <c r="A9" s="1">
        <v>42111</v>
      </c>
      <c r="B9">
        <v>2966.25</v>
      </c>
      <c r="E9">
        <f t="shared" si="0"/>
        <v>2625.0000000000005</v>
      </c>
    </row>
    <row r="10" spans="1:5">
      <c r="A10" s="1">
        <v>42118</v>
      </c>
      <c r="B10">
        <v>2966.25</v>
      </c>
      <c r="E10">
        <f t="shared" si="0"/>
        <v>2625.0000000000005</v>
      </c>
    </row>
    <row r="11" spans="1:5">
      <c r="A11" s="1">
        <v>42125</v>
      </c>
      <c r="B11">
        <v>2966.25</v>
      </c>
      <c r="E11">
        <f t="shared" si="0"/>
        <v>2625.0000000000005</v>
      </c>
    </row>
    <row r="12" spans="1:5">
      <c r="A12" s="1">
        <v>42132</v>
      </c>
      <c r="B12" s="32">
        <v>2966.25</v>
      </c>
      <c r="E12">
        <f t="shared" si="0"/>
        <v>2625.0000000000005</v>
      </c>
    </row>
    <row r="13" spans="1:5">
      <c r="A13" s="1">
        <v>42139</v>
      </c>
      <c r="B13" s="2">
        <v>3203.55</v>
      </c>
      <c r="E13">
        <f t="shared" si="0"/>
        <v>2835.0000000000005</v>
      </c>
    </row>
    <row r="14" spans="1:5">
      <c r="A14" s="1">
        <v>42146</v>
      </c>
      <c r="B14" s="33">
        <v>2373</v>
      </c>
      <c r="E14">
        <f t="shared" si="0"/>
        <v>2100</v>
      </c>
    </row>
    <row r="15" spans="1:5">
      <c r="A15" s="1">
        <v>42153</v>
      </c>
      <c r="B15" s="2">
        <v>3440.85</v>
      </c>
      <c r="E15">
        <f t="shared" si="0"/>
        <v>3045</v>
      </c>
    </row>
    <row r="16" spans="1:5">
      <c r="A16" s="1" t="s">
        <v>9</v>
      </c>
      <c r="B16" s="4">
        <f>SUM(B3:B15)</f>
        <v>38086.65</v>
      </c>
      <c r="E16">
        <f>SUM(E3:E15)</f>
        <v>33705</v>
      </c>
    </row>
    <row r="17" spans="1:5">
      <c r="A17" t="s">
        <v>5</v>
      </c>
      <c r="B17" s="3">
        <f>B16*C2</f>
        <v>3351.6251999999999</v>
      </c>
      <c r="E17" s="3">
        <f>B16-E16-B17</f>
        <v>1030.0248000000015</v>
      </c>
    </row>
    <row r="18" spans="1:5">
      <c r="A18" t="s">
        <v>6</v>
      </c>
      <c r="B18" s="3"/>
    </row>
    <row r="19" spans="1:5">
      <c r="A19" t="s">
        <v>7</v>
      </c>
      <c r="B19" s="5">
        <f>B17-B18</f>
        <v>3351.6251999999999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B19" sqref="B19"/>
    </sheetView>
  </sheetViews>
  <sheetFormatPr defaultRowHeight="14.4"/>
  <cols>
    <col min="1" max="1" width="26.6640625" customWidth="1"/>
    <col min="2" max="2" width="33.6640625" customWidth="1"/>
    <col min="3" max="3" width="15.33203125" customWidth="1"/>
    <col min="4" max="4" width="17" customWidth="1"/>
    <col min="5" max="5" width="12.5546875" customWidth="1"/>
  </cols>
  <sheetData>
    <row r="1" spans="1:5">
      <c r="A1" t="s">
        <v>0</v>
      </c>
      <c r="B1" t="s">
        <v>2</v>
      </c>
      <c r="C1" t="s">
        <v>3</v>
      </c>
      <c r="D1" t="s">
        <v>4</v>
      </c>
    </row>
    <row r="2" spans="1:5">
      <c r="A2" t="s">
        <v>56</v>
      </c>
      <c r="C2">
        <v>8.7999999999999995E-2</v>
      </c>
      <c r="D2">
        <v>0.01</v>
      </c>
    </row>
    <row r="3" spans="1:5">
      <c r="A3" s="1">
        <v>42160</v>
      </c>
      <c r="B3" s="39">
        <v>3243.1</v>
      </c>
      <c r="E3">
        <f>B3/1.13</f>
        <v>2870</v>
      </c>
    </row>
    <row r="4" spans="1:5">
      <c r="A4" s="1">
        <v>42167</v>
      </c>
      <c r="B4" s="41">
        <v>2966.25</v>
      </c>
      <c r="E4">
        <f>B4/1.13</f>
        <v>2625.0000000000005</v>
      </c>
    </row>
    <row r="5" spans="1:5">
      <c r="A5" s="1">
        <v>42174</v>
      </c>
      <c r="B5" s="42">
        <v>2966.25</v>
      </c>
      <c r="E5">
        <f t="shared" ref="E5:E15" si="0">B5/1.13</f>
        <v>2625.0000000000005</v>
      </c>
    </row>
    <row r="6" spans="1:5">
      <c r="A6" s="1">
        <v>42181</v>
      </c>
      <c r="B6" s="41">
        <v>2966.25</v>
      </c>
      <c r="E6">
        <f t="shared" si="0"/>
        <v>2625.0000000000005</v>
      </c>
    </row>
    <row r="7" spans="1:5">
      <c r="A7" s="1">
        <v>42188</v>
      </c>
      <c r="B7" s="39">
        <v>3203.55</v>
      </c>
      <c r="E7">
        <f t="shared" si="0"/>
        <v>2835.0000000000005</v>
      </c>
    </row>
    <row r="8" spans="1:5">
      <c r="A8" s="1">
        <v>42195</v>
      </c>
      <c r="B8" s="40">
        <v>2966.25</v>
      </c>
      <c r="E8">
        <f t="shared" si="0"/>
        <v>2625.0000000000005</v>
      </c>
    </row>
    <row r="9" spans="1:5">
      <c r="A9" s="1">
        <v>42202</v>
      </c>
      <c r="B9" s="38">
        <v>2966.25</v>
      </c>
      <c r="E9">
        <f t="shared" si="0"/>
        <v>2625.0000000000005</v>
      </c>
    </row>
    <row r="10" spans="1:5">
      <c r="A10" s="1">
        <v>42209</v>
      </c>
      <c r="B10" s="40">
        <v>2966.25</v>
      </c>
      <c r="E10">
        <f t="shared" si="0"/>
        <v>2625.0000000000005</v>
      </c>
    </row>
    <row r="11" spans="1:5">
      <c r="A11" s="1">
        <v>42216</v>
      </c>
      <c r="B11" s="38">
        <v>2966.25</v>
      </c>
      <c r="E11">
        <f t="shared" si="0"/>
        <v>2625.0000000000005</v>
      </c>
    </row>
    <row r="12" spans="1:5">
      <c r="A12" s="1">
        <v>42223</v>
      </c>
      <c r="B12" s="44">
        <v>2689.4</v>
      </c>
      <c r="E12">
        <f t="shared" si="0"/>
        <v>2380.0000000000005</v>
      </c>
    </row>
    <row r="13" spans="1:5">
      <c r="A13" s="1">
        <v>42230</v>
      </c>
      <c r="B13" s="42">
        <v>2966.25</v>
      </c>
      <c r="E13">
        <f t="shared" si="0"/>
        <v>2625.0000000000005</v>
      </c>
    </row>
    <row r="14" spans="1:5">
      <c r="A14" s="1">
        <v>42237</v>
      </c>
      <c r="B14" s="43">
        <v>2966.25</v>
      </c>
      <c r="E14">
        <f t="shared" si="0"/>
        <v>2625.0000000000005</v>
      </c>
    </row>
    <row r="15" spans="1:5">
      <c r="A15" s="1">
        <v>42244</v>
      </c>
      <c r="B15" s="6">
        <v>2966.25</v>
      </c>
      <c r="E15">
        <f t="shared" si="0"/>
        <v>2625.0000000000005</v>
      </c>
    </row>
    <row r="16" spans="1:5">
      <c r="A16" s="1" t="s">
        <v>9</v>
      </c>
      <c r="B16" s="4">
        <f>SUM(B3:B15)</f>
        <v>38798.550000000003</v>
      </c>
      <c r="E16">
        <f>SUM(E3:E15)</f>
        <v>34335</v>
      </c>
    </row>
    <row r="17" spans="1:5">
      <c r="A17" t="s">
        <v>5</v>
      </c>
      <c r="B17" s="3">
        <f>B16*C2</f>
        <v>3414.2723999999998</v>
      </c>
      <c r="E17" s="3">
        <f>B16-E16-B17</f>
        <v>1049.2776000000031</v>
      </c>
    </row>
    <row r="18" spans="1:5">
      <c r="A18" t="s">
        <v>6</v>
      </c>
      <c r="B18" s="3"/>
    </row>
    <row r="19" spans="1:5">
      <c r="A19" t="s">
        <v>7</v>
      </c>
      <c r="B19" s="5">
        <f>B17-B18</f>
        <v>3414.2723999999998</v>
      </c>
    </row>
    <row r="20" spans="1:5" ht="15" thickBot="1">
      <c r="A20" s="34">
        <v>42244</v>
      </c>
      <c r="B20" s="35" t="s">
        <v>55</v>
      </c>
      <c r="C20" s="36"/>
      <c r="D20" s="37">
        <v>5655.65</v>
      </c>
    </row>
  </sheetData>
  <sheetProtection selectLockedCells="1" selectUnlockedCells="1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D16" sqref="D16"/>
    </sheetView>
  </sheetViews>
  <sheetFormatPr defaultRowHeight="14.4"/>
  <cols>
    <col min="1" max="1" width="25.5546875" customWidth="1"/>
    <col min="2" max="2" width="21.5546875" customWidth="1"/>
    <col min="3" max="3" width="10.88671875" customWidth="1"/>
    <col min="4" max="4" width="16.44140625" customWidth="1"/>
    <col min="5" max="5" width="12.6640625" customWidth="1"/>
  </cols>
  <sheetData>
    <row r="1" spans="1:5">
      <c r="A1" t="s">
        <v>0</v>
      </c>
      <c r="B1" t="s">
        <v>2</v>
      </c>
      <c r="C1" t="s">
        <v>3</v>
      </c>
      <c r="D1" t="s">
        <v>4</v>
      </c>
    </row>
    <row r="2" spans="1:5">
      <c r="A2" t="s">
        <v>62</v>
      </c>
      <c r="C2">
        <v>8.7999999999999995E-2</v>
      </c>
      <c r="D2">
        <v>0.01</v>
      </c>
    </row>
    <row r="3" spans="1:5">
      <c r="A3" s="1">
        <v>41886</v>
      </c>
      <c r="B3" s="6">
        <v>2966.25</v>
      </c>
      <c r="E3">
        <f>B3/1.13</f>
        <v>2625.0000000000005</v>
      </c>
    </row>
    <row r="4" spans="1:5">
      <c r="A4" s="1">
        <v>41893</v>
      </c>
      <c r="B4" s="6">
        <v>2373</v>
      </c>
      <c r="E4">
        <f t="shared" ref="E4:E15" si="0">B4/1.13</f>
        <v>2100</v>
      </c>
    </row>
    <row r="5" spans="1:5">
      <c r="A5" s="1">
        <v>41900</v>
      </c>
      <c r="B5" s="6">
        <v>2966.25</v>
      </c>
      <c r="C5" s="1">
        <v>42286</v>
      </c>
      <c r="E5">
        <f t="shared" si="0"/>
        <v>2625.0000000000005</v>
      </c>
    </row>
    <row r="6" spans="1:5">
      <c r="A6" s="1">
        <v>41907</v>
      </c>
      <c r="B6" s="6">
        <v>3599.05</v>
      </c>
      <c r="E6">
        <f t="shared" si="0"/>
        <v>3185.0000000000005</v>
      </c>
    </row>
    <row r="7" spans="1:5">
      <c r="A7" s="1">
        <v>41914</v>
      </c>
      <c r="B7" s="6">
        <v>2966.25</v>
      </c>
      <c r="C7" s="1">
        <v>42300</v>
      </c>
      <c r="E7">
        <f t="shared" si="0"/>
        <v>2625.0000000000005</v>
      </c>
    </row>
    <row r="8" spans="1:5">
      <c r="A8" s="1">
        <v>41921</v>
      </c>
      <c r="B8" s="6">
        <v>2966.25</v>
      </c>
      <c r="E8">
        <f t="shared" si="0"/>
        <v>2625.0000000000005</v>
      </c>
    </row>
    <row r="9" spans="1:5">
      <c r="A9" s="1">
        <v>41928</v>
      </c>
      <c r="B9" s="6">
        <v>2373</v>
      </c>
      <c r="C9" s="1">
        <v>42314</v>
      </c>
      <c r="E9">
        <f t="shared" si="0"/>
        <v>2100</v>
      </c>
    </row>
    <row r="10" spans="1:5">
      <c r="A10" s="1">
        <v>41935</v>
      </c>
      <c r="B10" s="6">
        <v>2966.25</v>
      </c>
      <c r="E10">
        <f t="shared" si="0"/>
        <v>2625.0000000000005</v>
      </c>
    </row>
    <row r="11" spans="1:5">
      <c r="A11" s="1">
        <v>41942</v>
      </c>
      <c r="B11" s="6">
        <v>2966.25</v>
      </c>
      <c r="C11" s="1">
        <v>42328</v>
      </c>
      <c r="E11">
        <f t="shared" si="0"/>
        <v>2625.0000000000005</v>
      </c>
    </row>
    <row r="12" spans="1:5">
      <c r="A12" s="1">
        <v>41949</v>
      </c>
      <c r="B12" s="6">
        <v>2966.25</v>
      </c>
      <c r="E12">
        <f t="shared" si="0"/>
        <v>2625.0000000000005</v>
      </c>
    </row>
    <row r="13" spans="1:5">
      <c r="A13" s="1">
        <v>41956</v>
      </c>
      <c r="B13" s="6">
        <v>2373</v>
      </c>
      <c r="C13" s="1">
        <v>42342</v>
      </c>
      <c r="E13">
        <f t="shared" si="0"/>
        <v>2100</v>
      </c>
    </row>
    <row r="14" spans="1:5">
      <c r="A14" s="1">
        <v>41963</v>
      </c>
      <c r="B14" s="6">
        <v>2966.25</v>
      </c>
      <c r="E14">
        <f t="shared" si="0"/>
        <v>2625.0000000000005</v>
      </c>
    </row>
    <row r="15" spans="1:5">
      <c r="A15" s="1">
        <v>41970</v>
      </c>
      <c r="B15" s="6">
        <v>2966.25</v>
      </c>
      <c r="C15" s="1">
        <v>42356</v>
      </c>
      <c r="E15">
        <f t="shared" si="0"/>
        <v>2625.0000000000005</v>
      </c>
    </row>
    <row r="16" spans="1:5">
      <c r="A16" s="1" t="s">
        <v>9</v>
      </c>
      <c r="B16" s="4">
        <f>SUM(B3:B15)</f>
        <v>37414.300000000003</v>
      </c>
      <c r="E16">
        <f>SUM(E3:E15)</f>
        <v>33110</v>
      </c>
    </row>
    <row r="17" spans="1:5">
      <c r="A17" t="s">
        <v>5</v>
      </c>
      <c r="B17" s="3">
        <f>B16*C2</f>
        <v>3292.4584</v>
      </c>
      <c r="E17" s="3">
        <f>B16-E16-B17</f>
        <v>1011.8416000000029</v>
      </c>
    </row>
    <row r="18" spans="1:5">
      <c r="A18" t="s">
        <v>6</v>
      </c>
      <c r="B18" s="3">
        <v>300</v>
      </c>
    </row>
    <row r="19" spans="1:5">
      <c r="A19" t="s">
        <v>7</v>
      </c>
      <c r="B19" s="5">
        <f>B17-B18</f>
        <v>2992.4584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A3" sqref="A3"/>
    </sheetView>
  </sheetViews>
  <sheetFormatPr defaultRowHeight="14.4"/>
  <cols>
    <col min="1" max="1" width="26.5546875" customWidth="1"/>
    <col min="2" max="2" width="29.33203125" customWidth="1"/>
    <col min="3" max="3" width="13.5546875" customWidth="1"/>
    <col min="4" max="4" width="17.5546875" customWidth="1"/>
    <col min="5" max="5" width="11.109375" customWidth="1"/>
  </cols>
  <sheetData>
    <row r="1" spans="1:5">
      <c r="A1" t="s">
        <v>0</v>
      </c>
      <c r="B1" t="s">
        <v>2</v>
      </c>
      <c r="C1" t="s">
        <v>3</v>
      </c>
      <c r="D1" t="s">
        <v>4</v>
      </c>
    </row>
    <row r="2" spans="1:5">
      <c r="A2" t="s">
        <v>77</v>
      </c>
      <c r="C2">
        <v>8.7999999999999995E-2</v>
      </c>
      <c r="D2">
        <v>0.01</v>
      </c>
    </row>
    <row r="3" spans="1:5">
      <c r="A3" s="1">
        <v>42342</v>
      </c>
      <c r="B3" s="6">
        <v>2966.25</v>
      </c>
      <c r="E3">
        <f>B3/1.13</f>
        <v>2625.0000000000005</v>
      </c>
    </row>
    <row r="4" spans="1:5">
      <c r="A4" s="1">
        <v>41984</v>
      </c>
      <c r="B4" s="6">
        <v>2966.25</v>
      </c>
      <c r="C4" s="1">
        <v>42722</v>
      </c>
      <c r="E4">
        <f t="shared" ref="E4:E15" si="0">B4/1.13</f>
        <v>2625.0000000000005</v>
      </c>
    </row>
    <row r="5" spans="1:5">
      <c r="A5" s="1">
        <v>41991</v>
      </c>
      <c r="B5" s="6">
        <v>2966.25</v>
      </c>
      <c r="C5" s="1"/>
      <c r="E5">
        <f t="shared" si="0"/>
        <v>2625.0000000000005</v>
      </c>
    </row>
    <row r="6" spans="1:5">
      <c r="A6" s="1">
        <v>41998</v>
      </c>
      <c r="B6" s="6">
        <v>2373</v>
      </c>
      <c r="C6" s="1">
        <v>42384</v>
      </c>
      <c r="E6">
        <f t="shared" si="0"/>
        <v>2100</v>
      </c>
    </row>
    <row r="7" spans="1:5">
      <c r="A7" s="1">
        <v>42004</v>
      </c>
      <c r="B7" s="6">
        <v>1779.75</v>
      </c>
      <c r="E7">
        <f t="shared" si="0"/>
        <v>1575.0000000000002</v>
      </c>
    </row>
    <row r="8" spans="1:5">
      <c r="A8" s="1">
        <v>42377</v>
      </c>
      <c r="B8" s="6">
        <v>2966.25</v>
      </c>
      <c r="C8" s="1">
        <v>42398</v>
      </c>
      <c r="E8">
        <f t="shared" si="0"/>
        <v>2625.0000000000005</v>
      </c>
    </row>
    <row r="9" spans="1:5">
      <c r="A9" s="1">
        <v>42384</v>
      </c>
      <c r="B9" s="6">
        <v>2966.25</v>
      </c>
      <c r="E9">
        <f t="shared" si="0"/>
        <v>2625.0000000000005</v>
      </c>
    </row>
    <row r="10" spans="1:5">
      <c r="A10" s="1">
        <v>42391</v>
      </c>
      <c r="B10" s="6">
        <v>2966.25</v>
      </c>
      <c r="C10" s="1">
        <v>42412</v>
      </c>
      <c r="E10">
        <f t="shared" si="0"/>
        <v>2625.0000000000005</v>
      </c>
    </row>
    <row r="11" spans="1:5">
      <c r="A11" s="1">
        <v>42398</v>
      </c>
      <c r="B11" s="6">
        <v>2966.25</v>
      </c>
      <c r="E11">
        <f t="shared" si="0"/>
        <v>2625.0000000000005</v>
      </c>
    </row>
    <row r="12" spans="1:5">
      <c r="A12" s="1">
        <v>42405</v>
      </c>
      <c r="B12" s="6">
        <v>2966.25</v>
      </c>
      <c r="C12" s="1">
        <v>42426</v>
      </c>
      <c r="E12">
        <f t="shared" si="0"/>
        <v>2625.0000000000005</v>
      </c>
    </row>
    <row r="13" spans="1:5">
      <c r="A13" s="1">
        <v>42412</v>
      </c>
      <c r="B13" s="6">
        <v>2966.25</v>
      </c>
      <c r="E13">
        <f t="shared" si="0"/>
        <v>2625.0000000000005</v>
      </c>
    </row>
    <row r="14" spans="1:5">
      <c r="A14" s="1">
        <v>42419</v>
      </c>
      <c r="B14" s="6">
        <v>2373</v>
      </c>
      <c r="C14" s="1">
        <v>42440</v>
      </c>
      <c r="E14">
        <f t="shared" si="0"/>
        <v>2100</v>
      </c>
    </row>
    <row r="15" spans="1:5">
      <c r="A15" s="1">
        <v>42426</v>
      </c>
      <c r="B15" s="6">
        <v>2966.25</v>
      </c>
      <c r="E15">
        <f t="shared" si="0"/>
        <v>2625.0000000000005</v>
      </c>
    </row>
    <row r="16" spans="1:5">
      <c r="A16" s="1" t="s">
        <v>9</v>
      </c>
      <c r="B16" s="4">
        <f>SUM(B3:B15)</f>
        <v>36188.25</v>
      </c>
      <c r="E16">
        <f>SUM(E3:E15)</f>
        <v>32025.000000000004</v>
      </c>
    </row>
    <row r="17" spans="1:5">
      <c r="A17" t="s">
        <v>5</v>
      </c>
      <c r="B17" s="3">
        <f>B16*C2</f>
        <v>3184.5659999999998</v>
      </c>
      <c r="E17" s="3">
        <f>B16-E16-B17</f>
        <v>978.68399999999656</v>
      </c>
    </row>
    <row r="18" spans="1:5">
      <c r="A18" t="s">
        <v>6</v>
      </c>
      <c r="B18" s="3"/>
    </row>
    <row r="19" spans="1:5">
      <c r="A19" t="s">
        <v>7</v>
      </c>
      <c r="B19" s="5">
        <f>B17-B18</f>
        <v>3184.5659999999998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A15" sqref="A15"/>
    </sheetView>
  </sheetViews>
  <sheetFormatPr defaultRowHeight="14.4"/>
  <cols>
    <col min="1" max="1" width="26.5546875" customWidth="1"/>
    <col min="2" max="2" width="29.5546875" customWidth="1"/>
    <col min="3" max="3" width="17" customWidth="1"/>
    <col min="4" max="4" width="17.5546875" customWidth="1"/>
    <col min="5" max="5" width="11.109375" customWidth="1"/>
  </cols>
  <sheetData>
    <row r="1" spans="1:5">
      <c r="A1" t="s">
        <v>0</v>
      </c>
      <c r="B1" t="s">
        <v>2</v>
      </c>
      <c r="C1" t="s">
        <v>3</v>
      </c>
      <c r="D1" t="s">
        <v>4</v>
      </c>
    </row>
    <row r="2" spans="1:5">
      <c r="A2" t="s">
        <v>84</v>
      </c>
      <c r="C2">
        <v>8.7999999999999995E-2</v>
      </c>
      <c r="D2">
        <v>0.01</v>
      </c>
    </row>
    <row r="3" spans="1:5">
      <c r="A3" s="1">
        <v>42433</v>
      </c>
      <c r="B3" s="6">
        <v>2966.25</v>
      </c>
      <c r="C3" s="1">
        <v>42453</v>
      </c>
      <c r="E3">
        <f>B3/1.13</f>
        <v>2625.0000000000005</v>
      </c>
    </row>
    <row r="4" spans="1:5">
      <c r="A4" s="1">
        <v>42440</v>
      </c>
      <c r="B4" s="6">
        <v>2966.25</v>
      </c>
      <c r="C4" s="1"/>
      <c r="E4">
        <f t="shared" ref="E4:E15" si="0">B4/1.13</f>
        <v>2625.0000000000005</v>
      </c>
    </row>
    <row r="5" spans="1:5">
      <c r="A5" s="1">
        <v>42447</v>
      </c>
      <c r="B5" s="6">
        <v>2966.25</v>
      </c>
      <c r="C5" s="1">
        <v>42468</v>
      </c>
      <c r="E5">
        <f t="shared" si="0"/>
        <v>2625.0000000000005</v>
      </c>
    </row>
    <row r="6" spans="1:5">
      <c r="A6" s="1">
        <v>42454</v>
      </c>
      <c r="B6" s="6">
        <v>2373</v>
      </c>
      <c r="C6" s="1"/>
      <c r="E6">
        <f t="shared" si="0"/>
        <v>2100</v>
      </c>
    </row>
    <row r="7" spans="1:5">
      <c r="A7" s="1">
        <v>42461</v>
      </c>
      <c r="B7" s="6">
        <v>2966.25</v>
      </c>
      <c r="C7" s="1">
        <v>42482</v>
      </c>
      <c r="E7">
        <f t="shared" si="0"/>
        <v>2625.0000000000005</v>
      </c>
    </row>
    <row r="8" spans="1:5">
      <c r="A8" s="1">
        <v>42468</v>
      </c>
      <c r="B8" s="6">
        <v>2966.25</v>
      </c>
      <c r="C8" s="1"/>
      <c r="E8">
        <f>B8/1.13</f>
        <v>2625.0000000000005</v>
      </c>
    </row>
    <row r="9" spans="1:5">
      <c r="A9" s="1">
        <v>42475</v>
      </c>
      <c r="B9" s="6">
        <v>2966.25</v>
      </c>
      <c r="C9" s="1">
        <v>42496</v>
      </c>
      <c r="E9">
        <f t="shared" si="0"/>
        <v>2625.0000000000005</v>
      </c>
    </row>
    <row r="10" spans="1:5">
      <c r="A10" s="1">
        <v>42482</v>
      </c>
      <c r="B10" s="6">
        <v>2966.25</v>
      </c>
      <c r="C10" s="1"/>
      <c r="E10">
        <f t="shared" si="0"/>
        <v>2625.0000000000005</v>
      </c>
    </row>
    <row r="11" spans="1:5">
      <c r="A11" s="1">
        <v>42489</v>
      </c>
      <c r="B11" s="6">
        <v>2966.25</v>
      </c>
      <c r="C11" s="1">
        <v>42510</v>
      </c>
      <c r="E11">
        <f t="shared" si="0"/>
        <v>2625.0000000000005</v>
      </c>
    </row>
    <row r="12" spans="1:5">
      <c r="A12" s="1">
        <v>42496</v>
      </c>
      <c r="B12" s="6">
        <v>2966.25</v>
      </c>
      <c r="C12" s="1"/>
      <c r="E12">
        <f t="shared" si="0"/>
        <v>2625.0000000000005</v>
      </c>
    </row>
    <row r="13" spans="1:5">
      <c r="A13" s="1">
        <v>42503</v>
      </c>
      <c r="B13" s="6">
        <v>2966.25</v>
      </c>
      <c r="C13" s="1">
        <v>42524</v>
      </c>
      <c r="E13">
        <f t="shared" si="0"/>
        <v>2625.0000000000005</v>
      </c>
    </row>
    <row r="14" spans="1:5">
      <c r="A14" s="1">
        <v>42510</v>
      </c>
      <c r="B14" s="6">
        <v>2966.25</v>
      </c>
      <c r="C14" s="1"/>
      <c r="E14">
        <f t="shared" si="0"/>
        <v>2625.0000000000005</v>
      </c>
    </row>
    <row r="15" spans="1:5">
      <c r="A15" s="1">
        <v>42517</v>
      </c>
      <c r="B15" s="6">
        <v>2373</v>
      </c>
      <c r="C15" s="1">
        <v>42538</v>
      </c>
      <c r="E15">
        <f t="shared" si="0"/>
        <v>2100</v>
      </c>
    </row>
    <row r="16" spans="1:5">
      <c r="A16" s="1" t="s">
        <v>9</v>
      </c>
      <c r="B16" s="4">
        <f>SUM(B3:B15)</f>
        <v>37374.75</v>
      </c>
      <c r="E16">
        <f>SUM(E3:E15)</f>
        <v>33075</v>
      </c>
    </row>
    <row r="17" spans="1:5">
      <c r="A17" t="s">
        <v>5</v>
      </c>
      <c r="B17" s="3">
        <f>B16*C2</f>
        <v>3288.9779999999996</v>
      </c>
      <c r="E17" s="3">
        <f>B16-E16-B17</f>
        <v>1010.7720000000004</v>
      </c>
    </row>
    <row r="18" spans="1:5">
      <c r="A18" t="s">
        <v>6</v>
      </c>
      <c r="B18" s="3"/>
    </row>
    <row r="19" spans="1:5">
      <c r="A19" t="s">
        <v>7</v>
      </c>
      <c r="B19" s="5">
        <f>B17-B18</f>
        <v>3288.9779999999996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C15" sqref="C15"/>
    </sheetView>
  </sheetViews>
  <sheetFormatPr defaultRowHeight="14.4"/>
  <cols>
    <col min="1" max="1" width="26.5546875" customWidth="1"/>
    <col min="2" max="2" width="29.5546875" customWidth="1"/>
    <col min="3" max="3" width="17" customWidth="1"/>
    <col min="4" max="4" width="17.5546875" customWidth="1"/>
    <col min="5" max="5" width="11.109375" customWidth="1"/>
  </cols>
  <sheetData>
    <row r="1" spans="1:5">
      <c r="A1" t="s">
        <v>0</v>
      </c>
      <c r="B1" t="s">
        <v>2</v>
      </c>
      <c r="C1" t="s">
        <v>3</v>
      </c>
      <c r="D1" t="s">
        <v>4</v>
      </c>
    </row>
    <row r="2" spans="1:5">
      <c r="A2" t="s">
        <v>84</v>
      </c>
      <c r="C2">
        <v>8.7999999999999995E-2</v>
      </c>
      <c r="D2">
        <v>0.01</v>
      </c>
    </row>
    <row r="3" spans="1:5">
      <c r="A3" s="1">
        <v>42524</v>
      </c>
      <c r="B3" s="6">
        <v>2966.25</v>
      </c>
      <c r="E3">
        <f>B3/1.13</f>
        <v>2625.0000000000005</v>
      </c>
    </row>
    <row r="4" spans="1:5">
      <c r="A4" s="1">
        <v>42531</v>
      </c>
      <c r="B4" s="6">
        <v>2966.25</v>
      </c>
      <c r="C4" s="1">
        <v>42551</v>
      </c>
      <c r="E4">
        <f t="shared" ref="E4:E15" si="0">B4/1.13</f>
        <v>2625.0000000000005</v>
      </c>
    </row>
    <row r="5" spans="1:5">
      <c r="A5" s="1">
        <v>42538</v>
      </c>
      <c r="B5" s="6">
        <v>2966.25</v>
      </c>
      <c r="C5" s="1"/>
      <c r="E5">
        <f t="shared" si="0"/>
        <v>2625.0000000000005</v>
      </c>
    </row>
    <row r="6" spans="1:5">
      <c r="A6" s="1">
        <v>42545</v>
      </c>
      <c r="B6" s="6">
        <v>2966.25</v>
      </c>
      <c r="C6" s="1">
        <v>42566</v>
      </c>
      <c r="E6">
        <f t="shared" si="0"/>
        <v>2625.0000000000005</v>
      </c>
    </row>
    <row r="7" spans="1:5">
      <c r="A7" s="1">
        <v>42552</v>
      </c>
      <c r="B7" s="6">
        <v>2373</v>
      </c>
      <c r="C7" s="1"/>
      <c r="E7">
        <f t="shared" si="0"/>
        <v>2100</v>
      </c>
    </row>
    <row r="8" spans="1:5">
      <c r="A8" s="1">
        <v>42559</v>
      </c>
      <c r="B8" s="6">
        <v>2966.25</v>
      </c>
      <c r="C8" s="1">
        <v>42580</v>
      </c>
      <c r="E8">
        <f t="shared" si="0"/>
        <v>2625.0000000000005</v>
      </c>
    </row>
    <row r="9" spans="1:5">
      <c r="A9" s="1">
        <v>42566</v>
      </c>
      <c r="B9" s="6">
        <v>2966.25</v>
      </c>
      <c r="C9" s="1"/>
      <c r="E9">
        <f t="shared" si="0"/>
        <v>2625.0000000000005</v>
      </c>
    </row>
    <row r="10" spans="1:5">
      <c r="A10" s="1">
        <v>42573</v>
      </c>
      <c r="B10" s="6">
        <v>2966.25</v>
      </c>
      <c r="C10" s="1">
        <v>42594</v>
      </c>
      <c r="E10">
        <f t="shared" si="0"/>
        <v>2625.0000000000005</v>
      </c>
    </row>
    <row r="11" spans="1:5">
      <c r="A11" s="1">
        <v>42580</v>
      </c>
      <c r="B11" s="6">
        <v>2966.25</v>
      </c>
      <c r="C11" s="1"/>
      <c r="E11">
        <f t="shared" si="0"/>
        <v>2625.0000000000005</v>
      </c>
    </row>
    <row r="12" spans="1:5">
      <c r="A12" s="1">
        <v>42587</v>
      </c>
      <c r="B12" s="6">
        <v>2373</v>
      </c>
      <c r="C12" s="1">
        <v>42608</v>
      </c>
      <c r="E12">
        <f t="shared" si="0"/>
        <v>2100</v>
      </c>
    </row>
    <row r="13" spans="1:5">
      <c r="A13" s="1">
        <v>42594</v>
      </c>
      <c r="B13" s="6">
        <v>2966.25</v>
      </c>
      <c r="C13" s="1"/>
      <c r="E13">
        <f t="shared" si="0"/>
        <v>2625.0000000000005</v>
      </c>
    </row>
    <row r="14" spans="1:5">
      <c r="A14" s="1">
        <v>42601</v>
      </c>
      <c r="B14" s="6">
        <v>2966.25</v>
      </c>
      <c r="C14" s="1">
        <v>42622</v>
      </c>
      <c r="E14">
        <f t="shared" si="0"/>
        <v>2625.0000000000005</v>
      </c>
    </row>
    <row r="15" spans="1:5">
      <c r="A15" s="1">
        <v>42608</v>
      </c>
      <c r="B15" s="6">
        <v>2966.25</v>
      </c>
      <c r="C15" s="1" t="s">
        <v>85</v>
      </c>
      <c r="E15">
        <f t="shared" si="0"/>
        <v>2625.0000000000005</v>
      </c>
    </row>
    <row r="16" spans="1:5">
      <c r="A16" s="1" t="s">
        <v>9</v>
      </c>
      <c r="B16" s="4">
        <f>SUM(B3:B15)</f>
        <v>37374.75</v>
      </c>
      <c r="E16">
        <f>SUM(E3:E15)</f>
        <v>33075.000000000007</v>
      </c>
    </row>
    <row r="17" spans="1:5">
      <c r="A17" t="s">
        <v>5</v>
      </c>
      <c r="B17" s="3">
        <f>B16*C2</f>
        <v>3288.9779999999996</v>
      </c>
      <c r="E17" s="3">
        <f>B16-E16-B17</f>
        <v>1010.7719999999931</v>
      </c>
    </row>
    <row r="18" spans="1:5">
      <c r="A18" t="s">
        <v>6</v>
      </c>
      <c r="B18" s="3"/>
    </row>
    <row r="19" spans="1:5">
      <c r="A19" t="s">
        <v>7</v>
      </c>
      <c r="B19" s="5">
        <f>B17-B18</f>
        <v>3288.9779999999996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C16" sqref="C16"/>
    </sheetView>
  </sheetViews>
  <sheetFormatPr defaultRowHeight="14.4"/>
  <cols>
    <col min="1" max="1" width="25.5546875" customWidth="1"/>
    <col min="2" max="2" width="23.88671875" customWidth="1"/>
    <col min="3" max="3" width="14.33203125" customWidth="1"/>
    <col min="4" max="4" width="16.44140625" customWidth="1"/>
    <col min="5" max="5" width="12.6640625" customWidth="1"/>
  </cols>
  <sheetData>
    <row r="1" spans="1:5">
      <c r="A1" t="s">
        <v>0</v>
      </c>
      <c r="B1" t="s">
        <v>2</v>
      </c>
      <c r="C1" t="s">
        <v>3</v>
      </c>
      <c r="D1" t="s">
        <v>4</v>
      </c>
    </row>
    <row r="2" spans="1:5">
      <c r="A2" t="s">
        <v>89</v>
      </c>
      <c r="C2">
        <v>8.7999999999999995E-2</v>
      </c>
      <c r="D2">
        <v>0.01</v>
      </c>
    </row>
    <row r="3" spans="1:5">
      <c r="A3" s="1">
        <v>42615</v>
      </c>
      <c r="B3" s="6">
        <v>2966.25</v>
      </c>
      <c r="E3">
        <f>B3/1.13</f>
        <v>2625.0000000000005</v>
      </c>
    </row>
    <row r="4" spans="1:5">
      <c r="A4" s="1">
        <v>42622</v>
      </c>
      <c r="B4" s="6">
        <v>2373</v>
      </c>
      <c r="E4">
        <f t="shared" ref="E4:E15" si="0">B4/1.13</f>
        <v>2100</v>
      </c>
    </row>
    <row r="5" spans="1:5">
      <c r="A5" s="1">
        <v>42629</v>
      </c>
      <c r="B5" s="6">
        <v>2966.25</v>
      </c>
      <c r="C5" s="1">
        <v>42650</v>
      </c>
      <c r="E5">
        <f t="shared" si="0"/>
        <v>2625.0000000000005</v>
      </c>
    </row>
    <row r="6" spans="1:5">
      <c r="A6" s="1">
        <v>42636</v>
      </c>
      <c r="B6" s="6">
        <v>3440.85</v>
      </c>
      <c r="E6">
        <f t="shared" si="0"/>
        <v>3045</v>
      </c>
    </row>
    <row r="7" spans="1:5">
      <c r="A7" s="1">
        <v>42643</v>
      </c>
      <c r="B7" s="6">
        <v>3599.05</v>
      </c>
      <c r="C7" s="1">
        <v>42664</v>
      </c>
      <c r="E7">
        <f t="shared" si="0"/>
        <v>3185.0000000000005</v>
      </c>
    </row>
    <row r="8" spans="1:5">
      <c r="A8" s="1">
        <v>42650</v>
      </c>
      <c r="B8" s="6">
        <v>2966.25</v>
      </c>
      <c r="E8">
        <f t="shared" si="0"/>
        <v>2625.0000000000005</v>
      </c>
    </row>
    <row r="9" spans="1:5">
      <c r="A9" s="1">
        <v>41926</v>
      </c>
      <c r="B9" s="6">
        <v>2373</v>
      </c>
      <c r="C9" s="1">
        <v>42678</v>
      </c>
      <c r="E9">
        <f t="shared" si="0"/>
        <v>2100</v>
      </c>
    </row>
    <row r="10" spans="1:5">
      <c r="A10" s="1">
        <v>41933</v>
      </c>
      <c r="B10" s="6">
        <v>2966.25</v>
      </c>
      <c r="E10">
        <f t="shared" si="0"/>
        <v>2625.0000000000005</v>
      </c>
    </row>
    <row r="11" spans="1:5">
      <c r="A11" s="1">
        <v>42671</v>
      </c>
      <c r="B11" s="50">
        <v>3243.1</v>
      </c>
      <c r="C11" s="1">
        <v>42692</v>
      </c>
      <c r="E11">
        <f t="shared" si="0"/>
        <v>2870</v>
      </c>
    </row>
    <row r="12" spans="1:5">
      <c r="A12" s="1">
        <v>42678</v>
      </c>
      <c r="B12" s="50">
        <v>3361.75</v>
      </c>
      <c r="E12">
        <f t="shared" si="0"/>
        <v>2975.0000000000005</v>
      </c>
    </row>
    <row r="13" spans="1:5">
      <c r="A13" s="1">
        <v>42685</v>
      </c>
      <c r="B13" s="50">
        <v>2768.5</v>
      </c>
      <c r="C13" s="1">
        <v>42340</v>
      </c>
      <c r="E13">
        <f t="shared" si="0"/>
        <v>2450.0000000000005</v>
      </c>
    </row>
    <row r="14" spans="1:5">
      <c r="A14" s="1">
        <v>42692</v>
      </c>
      <c r="B14" s="50">
        <v>3124.45</v>
      </c>
      <c r="E14">
        <f t="shared" si="0"/>
        <v>2765</v>
      </c>
    </row>
    <row r="15" spans="1:5">
      <c r="A15" s="1">
        <v>41968</v>
      </c>
      <c r="B15" s="50">
        <v>3361.75</v>
      </c>
      <c r="C15" s="1">
        <v>42354</v>
      </c>
      <c r="E15">
        <f t="shared" si="0"/>
        <v>2975.0000000000005</v>
      </c>
    </row>
    <row r="16" spans="1:5">
      <c r="A16" s="1" t="s">
        <v>9</v>
      </c>
      <c r="B16" s="4">
        <f>SUM(B3:B15)</f>
        <v>39510.449999999997</v>
      </c>
      <c r="E16">
        <f>SUM(E3:E15)</f>
        <v>34965</v>
      </c>
    </row>
    <row r="17" spans="1:5">
      <c r="A17" t="s">
        <v>5</v>
      </c>
      <c r="B17" s="3">
        <f>B16*C2</f>
        <v>3476.9195999999997</v>
      </c>
      <c r="E17" s="3">
        <f>B16-E16-B17</f>
        <v>1068.5303999999974</v>
      </c>
    </row>
    <row r="18" spans="1:5">
      <c r="A18" t="s">
        <v>6</v>
      </c>
      <c r="B18" s="3">
        <v>300</v>
      </c>
    </row>
    <row r="19" spans="1:5">
      <c r="A19" t="s">
        <v>7</v>
      </c>
      <c r="B19" s="5">
        <f>B17-B18</f>
        <v>3176.9195999999997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B14" sqref="B14"/>
    </sheetView>
  </sheetViews>
  <sheetFormatPr defaultRowHeight="14.4"/>
  <cols>
    <col min="1" max="1" width="25.5546875" customWidth="1"/>
    <col min="2" max="2" width="27.33203125" customWidth="1"/>
    <col min="3" max="3" width="15.33203125" customWidth="1"/>
    <col min="4" max="4" width="16.44140625" customWidth="1"/>
    <col min="5" max="5" width="12.6640625" customWidth="1"/>
  </cols>
  <sheetData>
    <row r="1" spans="1:5">
      <c r="A1" t="s">
        <v>0</v>
      </c>
      <c r="B1" t="s">
        <v>2</v>
      </c>
      <c r="C1" t="s">
        <v>3</v>
      </c>
      <c r="D1" t="s">
        <v>4</v>
      </c>
    </row>
    <row r="2" spans="1:5">
      <c r="A2" t="s">
        <v>93</v>
      </c>
      <c r="C2">
        <v>8.7999999999999995E-2</v>
      </c>
      <c r="D2">
        <v>0.01</v>
      </c>
    </row>
    <row r="3" spans="1:5">
      <c r="A3" s="1">
        <v>42706</v>
      </c>
      <c r="B3" s="6">
        <v>3282.65</v>
      </c>
      <c r="E3">
        <f>B3/1.13</f>
        <v>2905.0000000000005</v>
      </c>
    </row>
    <row r="4" spans="1:5">
      <c r="A4" s="1">
        <v>42713</v>
      </c>
      <c r="B4" s="6">
        <v>3282.65</v>
      </c>
      <c r="C4" s="1">
        <v>43099</v>
      </c>
      <c r="E4">
        <f t="shared" ref="E4:E15" si="0">B4/1.13</f>
        <v>2905.0000000000005</v>
      </c>
    </row>
    <row r="5" spans="1:5">
      <c r="A5" s="1">
        <v>42720</v>
      </c>
      <c r="B5" s="6">
        <v>2966.25</v>
      </c>
      <c r="C5" s="1"/>
      <c r="E5">
        <f t="shared" si="0"/>
        <v>2625.0000000000005</v>
      </c>
    </row>
    <row r="6" spans="1:5">
      <c r="A6" s="1">
        <v>42727</v>
      </c>
      <c r="B6" s="6">
        <v>2966.25</v>
      </c>
      <c r="C6" s="1">
        <v>42748</v>
      </c>
      <c r="E6">
        <f t="shared" si="0"/>
        <v>2625.0000000000005</v>
      </c>
    </row>
    <row r="7" spans="1:5">
      <c r="A7" s="1">
        <v>42734</v>
      </c>
      <c r="B7" s="6">
        <v>1779.75</v>
      </c>
      <c r="C7" s="1"/>
      <c r="E7">
        <f t="shared" si="0"/>
        <v>1575.0000000000002</v>
      </c>
    </row>
    <row r="8" spans="1:5">
      <c r="A8" s="1">
        <v>42741</v>
      </c>
      <c r="B8" s="6">
        <v>2373</v>
      </c>
      <c r="C8" s="1">
        <v>42762</v>
      </c>
      <c r="E8">
        <f t="shared" si="0"/>
        <v>2100</v>
      </c>
    </row>
    <row r="9" spans="1:5">
      <c r="A9" s="1">
        <v>42748</v>
      </c>
      <c r="B9" s="32">
        <v>3124.45</v>
      </c>
      <c r="C9" s="1"/>
      <c r="E9">
        <f t="shared" si="0"/>
        <v>2765</v>
      </c>
    </row>
    <row r="10" spans="1:5">
      <c r="A10" s="1">
        <v>41659</v>
      </c>
      <c r="B10" s="6">
        <v>2966.25</v>
      </c>
      <c r="C10" s="1">
        <v>42776</v>
      </c>
      <c r="E10">
        <f t="shared" si="0"/>
        <v>2625.0000000000005</v>
      </c>
    </row>
    <row r="11" spans="1:5">
      <c r="A11" s="1">
        <v>42396</v>
      </c>
      <c r="B11" s="6">
        <v>2966.25</v>
      </c>
      <c r="C11" s="1"/>
      <c r="E11">
        <f t="shared" si="0"/>
        <v>2625.0000000000005</v>
      </c>
    </row>
    <row r="12" spans="1:5">
      <c r="A12" s="1">
        <v>42769</v>
      </c>
      <c r="B12" s="6">
        <v>2966.25</v>
      </c>
      <c r="C12" s="1">
        <v>42790</v>
      </c>
      <c r="E12">
        <f t="shared" si="0"/>
        <v>2625.0000000000005</v>
      </c>
    </row>
    <row r="13" spans="1:5">
      <c r="A13" s="1">
        <v>42776</v>
      </c>
      <c r="B13" s="6">
        <v>2966.25</v>
      </c>
      <c r="C13" s="1"/>
      <c r="E13">
        <f t="shared" si="0"/>
        <v>2625.0000000000005</v>
      </c>
    </row>
    <row r="14" spans="1:5">
      <c r="A14" s="1">
        <v>42417</v>
      </c>
      <c r="B14" s="6">
        <v>2966.25</v>
      </c>
      <c r="C14" s="1">
        <v>42804</v>
      </c>
      <c r="E14">
        <f t="shared" si="0"/>
        <v>2625.0000000000005</v>
      </c>
    </row>
    <row r="15" spans="1:5">
      <c r="A15" s="1">
        <v>41694</v>
      </c>
      <c r="B15" s="6">
        <v>2373</v>
      </c>
      <c r="C15" s="1"/>
      <c r="E15">
        <f t="shared" si="0"/>
        <v>2100</v>
      </c>
    </row>
    <row r="16" spans="1:5">
      <c r="A16" s="1" t="s">
        <v>9</v>
      </c>
      <c r="B16" s="4">
        <f>SUM(B3:B15)</f>
        <v>36979.25</v>
      </c>
      <c r="E16">
        <f>SUM(E3:E15)</f>
        <v>32725</v>
      </c>
    </row>
    <row r="17" spans="1:5">
      <c r="A17" t="s">
        <v>5</v>
      </c>
      <c r="B17" s="3">
        <f>B16*C2</f>
        <v>3254.174</v>
      </c>
      <c r="E17" s="3">
        <f>B16-E16-B17</f>
        <v>1000.076</v>
      </c>
    </row>
    <row r="18" spans="1:5">
      <c r="A18" t="s">
        <v>6</v>
      </c>
      <c r="B18" s="3"/>
    </row>
    <row r="19" spans="1:5">
      <c r="A19" t="s">
        <v>7</v>
      </c>
      <c r="B19" s="5">
        <f>B17-B18</f>
        <v>3254.174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D17" sqref="D17"/>
    </sheetView>
  </sheetViews>
  <sheetFormatPr defaultRowHeight="14.4"/>
  <cols>
    <col min="1" max="1" width="26.5546875" customWidth="1"/>
    <col min="2" max="2" width="29.88671875" customWidth="1"/>
    <col min="3" max="3" width="17" customWidth="1"/>
    <col min="4" max="4" width="17.5546875" customWidth="1"/>
    <col min="5" max="5" width="11.109375" customWidth="1"/>
  </cols>
  <sheetData>
    <row r="1" spans="1:5">
      <c r="A1" t="s">
        <v>0</v>
      </c>
      <c r="B1" t="s">
        <v>2</v>
      </c>
      <c r="C1" t="s">
        <v>3</v>
      </c>
      <c r="D1" t="s">
        <v>4</v>
      </c>
    </row>
    <row r="2" spans="1:5">
      <c r="A2" t="s">
        <v>100</v>
      </c>
      <c r="C2">
        <v>8.7999999999999995E-2</v>
      </c>
      <c r="D2">
        <v>0.01</v>
      </c>
    </row>
    <row r="3" spans="1:5">
      <c r="A3" s="1">
        <v>42797</v>
      </c>
      <c r="B3" s="6">
        <v>2966.25</v>
      </c>
      <c r="C3" s="1">
        <v>42822</v>
      </c>
      <c r="E3">
        <f>B3/1.13</f>
        <v>2625.0000000000005</v>
      </c>
    </row>
    <row r="4" spans="1:5">
      <c r="A4" s="1">
        <v>42804</v>
      </c>
      <c r="B4" s="6">
        <v>2966.25</v>
      </c>
      <c r="C4" s="1"/>
      <c r="E4">
        <f t="shared" ref="E4:E15" si="0">B4/1.13</f>
        <v>2625.0000000000005</v>
      </c>
    </row>
    <row r="5" spans="1:5">
      <c r="A5" s="1">
        <v>42811</v>
      </c>
      <c r="B5" s="6">
        <v>2966.25</v>
      </c>
      <c r="C5" s="1">
        <v>42832</v>
      </c>
      <c r="E5">
        <f t="shared" si="0"/>
        <v>2625.0000000000005</v>
      </c>
    </row>
    <row r="6" spans="1:5">
      <c r="A6" s="1">
        <v>42818</v>
      </c>
      <c r="B6" s="6">
        <v>2966.25</v>
      </c>
      <c r="C6" s="1"/>
      <c r="E6">
        <f t="shared" si="0"/>
        <v>2625.0000000000005</v>
      </c>
    </row>
    <row r="7" spans="1:5">
      <c r="A7" s="1">
        <v>42825</v>
      </c>
      <c r="B7" s="6">
        <v>2966.25</v>
      </c>
      <c r="C7" s="1">
        <v>42846</v>
      </c>
      <c r="E7">
        <f t="shared" si="0"/>
        <v>2625.0000000000005</v>
      </c>
    </row>
    <row r="8" spans="1:5">
      <c r="A8" s="1">
        <v>42832</v>
      </c>
      <c r="B8" s="6">
        <v>2966.25</v>
      </c>
      <c r="C8" s="1"/>
      <c r="E8">
        <f t="shared" si="0"/>
        <v>2625.0000000000005</v>
      </c>
    </row>
    <row r="9" spans="1:5">
      <c r="A9" s="1">
        <v>42839</v>
      </c>
      <c r="B9" s="6">
        <v>2373</v>
      </c>
      <c r="C9" s="1">
        <v>42129</v>
      </c>
      <c r="E9">
        <f t="shared" si="0"/>
        <v>2100</v>
      </c>
    </row>
    <row r="10" spans="1:5">
      <c r="A10" s="1">
        <v>42846</v>
      </c>
      <c r="B10" s="6">
        <v>2966.25</v>
      </c>
      <c r="C10" s="1"/>
      <c r="E10">
        <f t="shared" si="0"/>
        <v>2625.0000000000005</v>
      </c>
    </row>
    <row r="11" spans="1:5">
      <c r="A11" s="1">
        <v>42853</v>
      </c>
      <c r="B11" s="6">
        <v>2966.25</v>
      </c>
      <c r="C11" s="1">
        <v>42874</v>
      </c>
      <c r="E11">
        <f t="shared" si="0"/>
        <v>2625.0000000000005</v>
      </c>
    </row>
    <row r="12" spans="1:5">
      <c r="A12" s="1">
        <v>42860</v>
      </c>
      <c r="B12" s="6">
        <v>2966.25</v>
      </c>
      <c r="C12" s="1"/>
      <c r="E12">
        <f t="shared" si="0"/>
        <v>2625.0000000000005</v>
      </c>
    </row>
    <row r="13" spans="1:5">
      <c r="A13" s="1">
        <v>42867</v>
      </c>
      <c r="B13" s="6">
        <v>2966.25</v>
      </c>
      <c r="C13" s="1">
        <v>42888</v>
      </c>
      <c r="E13">
        <f t="shared" si="0"/>
        <v>2625.0000000000005</v>
      </c>
    </row>
    <row r="14" spans="1:5">
      <c r="A14" s="1">
        <v>42874</v>
      </c>
      <c r="B14" s="6">
        <v>2373</v>
      </c>
      <c r="C14" s="1"/>
      <c r="E14">
        <f t="shared" si="0"/>
        <v>2100</v>
      </c>
    </row>
    <row r="15" spans="1:5">
      <c r="A15" s="1">
        <v>42881</v>
      </c>
      <c r="B15" s="6">
        <v>2373</v>
      </c>
      <c r="C15" s="1">
        <v>42537</v>
      </c>
      <c r="E15">
        <f t="shared" si="0"/>
        <v>2100</v>
      </c>
    </row>
    <row r="16" spans="1:5">
      <c r="A16" s="1" t="s">
        <v>9</v>
      </c>
      <c r="B16" s="4">
        <f>SUM(B3:B15)</f>
        <v>36781.5</v>
      </c>
      <c r="E16">
        <f>SUM(E3:E15)</f>
        <v>32550</v>
      </c>
    </row>
    <row r="17" spans="1:5">
      <c r="A17" t="s">
        <v>5</v>
      </c>
      <c r="B17" s="3">
        <f>B16*C2</f>
        <v>3236.7719999999999</v>
      </c>
      <c r="E17" s="3">
        <f>B16-E16-B17</f>
        <v>994.72800000000007</v>
      </c>
    </row>
    <row r="18" spans="1:5">
      <c r="A18" t="s">
        <v>6</v>
      </c>
      <c r="B18" s="3"/>
    </row>
    <row r="19" spans="1:5">
      <c r="A19" t="s">
        <v>7</v>
      </c>
      <c r="B19" s="5">
        <f>B17-B18</f>
        <v>3236.7719999999999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D17" sqref="D17"/>
    </sheetView>
  </sheetViews>
  <sheetFormatPr defaultRowHeight="14.4"/>
  <cols>
    <col min="1" max="1" width="26.5546875" customWidth="1"/>
    <col min="2" max="2" width="29.88671875" customWidth="1"/>
    <col min="3" max="3" width="17" customWidth="1"/>
    <col min="4" max="4" width="17.5546875" customWidth="1"/>
    <col min="5" max="5" width="11.109375" customWidth="1"/>
  </cols>
  <sheetData>
    <row r="1" spans="1:5">
      <c r="A1" t="s">
        <v>0</v>
      </c>
      <c r="B1" t="s">
        <v>2</v>
      </c>
      <c r="C1" t="s">
        <v>3</v>
      </c>
      <c r="D1" t="s">
        <v>4</v>
      </c>
    </row>
    <row r="2" spans="1:5">
      <c r="A2" t="s">
        <v>101</v>
      </c>
      <c r="C2">
        <v>8.7999999999999995E-2</v>
      </c>
      <c r="D2">
        <v>0.01</v>
      </c>
    </row>
    <row r="3" spans="1:5">
      <c r="A3" s="1">
        <v>42523</v>
      </c>
      <c r="B3" s="6">
        <v>2966.25</v>
      </c>
      <c r="E3">
        <f>B3/1.13</f>
        <v>2625.0000000000005</v>
      </c>
    </row>
    <row r="4" spans="1:5">
      <c r="A4" s="1">
        <v>42530</v>
      </c>
      <c r="B4" s="6">
        <v>2966.25</v>
      </c>
      <c r="C4" s="1">
        <v>42551</v>
      </c>
      <c r="E4">
        <f t="shared" ref="E4:E16" si="0">B4/1.13</f>
        <v>2625.0000000000005</v>
      </c>
    </row>
    <row r="5" spans="1:5">
      <c r="A5" s="1">
        <v>42537</v>
      </c>
      <c r="B5" s="6">
        <v>2966.25</v>
      </c>
      <c r="C5" s="1"/>
      <c r="E5">
        <f t="shared" si="0"/>
        <v>2625.0000000000005</v>
      </c>
    </row>
    <row r="6" spans="1:5">
      <c r="A6" s="1">
        <v>42544</v>
      </c>
      <c r="B6" s="6">
        <v>2966.25</v>
      </c>
      <c r="C6" s="1">
        <v>42930</v>
      </c>
      <c r="E6">
        <f t="shared" si="0"/>
        <v>2625.0000000000005</v>
      </c>
    </row>
    <row r="7" spans="1:5">
      <c r="A7" s="1">
        <v>42551</v>
      </c>
      <c r="B7" s="6">
        <v>2966.25</v>
      </c>
      <c r="C7" s="1"/>
      <c r="E7">
        <f t="shared" si="0"/>
        <v>2625.0000000000005</v>
      </c>
    </row>
    <row r="8" spans="1:5">
      <c r="A8" s="1">
        <v>42556</v>
      </c>
      <c r="B8" s="6">
        <v>1423.8</v>
      </c>
      <c r="C8" s="1">
        <v>42970</v>
      </c>
      <c r="D8" s="31">
        <v>4390.05</v>
      </c>
      <c r="E8">
        <f t="shared" si="0"/>
        <v>1260</v>
      </c>
    </row>
    <row r="9" spans="1:5">
      <c r="A9" s="1">
        <v>42559</v>
      </c>
      <c r="B9" s="32">
        <v>1440.75</v>
      </c>
      <c r="C9" s="1">
        <v>42580</v>
      </c>
      <c r="E9">
        <f t="shared" si="0"/>
        <v>1275.0000000000002</v>
      </c>
    </row>
    <row r="10" spans="1:5">
      <c r="A10" s="1">
        <v>42566</v>
      </c>
      <c r="B10" s="6">
        <v>3601.88</v>
      </c>
      <c r="C10" s="1"/>
      <c r="E10">
        <f t="shared" si="0"/>
        <v>3187.5044247787614</v>
      </c>
    </row>
    <row r="11" spans="1:5">
      <c r="A11" s="1">
        <v>42573</v>
      </c>
      <c r="B11" s="6">
        <v>3601.88</v>
      </c>
      <c r="C11" s="1">
        <v>42593</v>
      </c>
      <c r="D11" s="31">
        <v>8644.5</v>
      </c>
      <c r="E11">
        <f t="shared" si="0"/>
        <v>3187.5044247787614</v>
      </c>
    </row>
    <row r="12" spans="1:5">
      <c r="A12" s="1">
        <v>42580</v>
      </c>
      <c r="B12" s="6">
        <v>3601.88</v>
      </c>
      <c r="C12" s="1"/>
      <c r="E12">
        <f t="shared" si="0"/>
        <v>3187.5044247787614</v>
      </c>
    </row>
    <row r="13" spans="1:5">
      <c r="A13" s="1">
        <v>42587</v>
      </c>
      <c r="B13" s="6">
        <v>3601.88</v>
      </c>
      <c r="C13" s="1">
        <v>42610</v>
      </c>
      <c r="D13" s="31">
        <v>7203.76</v>
      </c>
      <c r="E13">
        <f t="shared" si="0"/>
        <v>3187.5044247787614</v>
      </c>
    </row>
    <row r="14" spans="1:5">
      <c r="A14" s="1">
        <v>42594</v>
      </c>
      <c r="B14" s="6">
        <v>2881.5</v>
      </c>
      <c r="C14" s="1"/>
      <c r="E14">
        <f t="shared" si="0"/>
        <v>2550.0000000000005</v>
      </c>
    </row>
    <row r="15" spans="1:5">
      <c r="A15" s="1">
        <v>42601</v>
      </c>
      <c r="B15" s="6">
        <v>3601.88</v>
      </c>
      <c r="C15" s="1">
        <v>42614</v>
      </c>
      <c r="D15" s="31">
        <v>6483.38</v>
      </c>
      <c r="E15">
        <f t="shared" si="0"/>
        <v>3187.5044247787614</v>
      </c>
    </row>
    <row r="16" spans="1:5">
      <c r="A16" s="1">
        <v>42608</v>
      </c>
      <c r="B16" s="6">
        <v>3601.88</v>
      </c>
      <c r="C16" s="1" t="s">
        <v>85</v>
      </c>
      <c r="E16">
        <f t="shared" si="0"/>
        <v>3187.5044247787614</v>
      </c>
    </row>
    <row r="17" spans="1:5">
      <c r="A17" s="1" t="s">
        <v>9</v>
      </c>
      <c r="B17" s="4">
        <f>SUM(B3:B16)</f>
        <v>42188.58</v>
      </c>
      <c r="D17" s="31"/>
      <c r="E17">
        <f>SUM(E3:E16)</f>
        <v>37335.026548672569</v>
      </c>
    </row>
    <row r="18" spans="1:5">
      <c r="A18" t="s">
        <v>5</v>
      </c>
      <c r="B18" s="3">
        <f>B17*C2</f>
        <v>3712.5950400000002</v>
      </c>
      <c r="E18" s="3">
        <f>B17-E17-B18</f>
        <v>1140.9584113274323</v>
      </c>
    </row>
    <row r="19" spans="1:5">
      <c r="A19" t="s">
        <v>6</v>
      </c>
      <c r="B19" s="3"/>
    </row>
    <row r="20" spans="1:5">
      <c r="A20" t="s">
        <v>7</v>
      </c>
      <c r="B20" s="5">
        <f>B18-B19</f>
        <v>3712.5950400000002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B12" sqref="B12"/>
    </sheetView>
  </sheetViews>
  <sheetFormatPr defaultRowHeight="14.4"/>
  <cols>
    <col min="1" max="1" width="25.5546875" customWidth="1"/>
    <col min="2" max="2" width="28.21875" customWidth="1"/>
    <col min="3" max="3" width="14.33203125" customWidth="1"/>
    <col min="4" max="4" width="16.44140625" customWidth="1"/>
    <col min="5" max="5" width="12.6640625" customWidth="1"/>
  </cols>
  <sheetData>
    <row r="1" spans="1:5">
      <c r="A1" t="s">
        <v>0</v>
      </c>
      <c r="B1" t="s">
        <v>2</v>
      </c>
      <c r="C1" t="s">
        <v>3</v>
      </c>
      <c r="D1" t="s">
        <v>4</v>
      </c>
    </row>
    <row r="2" spans="1:5">
      <c r="A2" t="s">
        <v>105</v>
      </c>
      <c r="C2">
        <v>8.7999999999999995E-2</v>
      </c>
      <c r="D2">
        <v>0.01</v>
      </c>
    </row>
    <row r="3" spans="1:5">
      <c r="A3" s="1">
        <v>42628</v>
      </c>
      <c r="B3" s="58">
        <v>7203.76</v>
      </c>
      <c r="E3">
        <f>B3/1.13</f>
        <v>6375.0088495575228</v>
      </c>
    </row>
    <row r="4" spans="1:5">
      <c r="A4" s="1">
        <v>42642</v>
      </c>
      <c r="B4" s="59">
        <v>2881.5</v>
      </c>
      <c r="C4" s="31"/>
      <c r="E4">
        <f t="shared" ref="E4:E9" si="0">B4/1.13</f>
        <v>2550.0000000000005</v>
      </c>
    </row>
    <row r="5" spans="1:5">
      <c r="A5" s="1">
        <v>41925</v>
      </c>
      <c r="B5" s="59">
        <v>10805.63</v>
      </c>
      <c r="C5" s="1"/>
      <c r="E5">
        <f t="shared" si="0"/>
        <v>9562.5044247787609</v>
      </c>
    </row>
    <row r="6" spans="1:5">
      <c r="A6" s="1">
        <v>41939</v>
      </c>
      <c r="B6" s="58">
        <v>6483.38</v>
      </c>
      <c r="E6">
        <f t="shared" si="0"/>
        <v>5737.5044247787619</v>
      </c>
    </row>
    <row r="7" spans="1:5">
      <c r="A7" s="1">
        <v>42684</v>
      </c>
      <c r="B7" s="60">
        <v>3601.88</v>
      </c>
      <c r="C7" s="1"/>
      <c r="E7">
        <f t="shared" si="0"/>
        <v>3187.5044247787614</v>
      </c>
    </row>
    <row r="8" spans="1:5">
      <c r="A8" s="1">
        <v>42689</v>
      </c>
      <c r="B8" s="59">
        <v>3601.88</v>
      </c>
      <c r="E8">
        <f t="shared" si="0"/>
        <v>3187.5044247787614</v>
      </c>
    </row>
    <row r="9" spans="1:5">
      <c r="A9" s="1">
        <v>41967</v>
      </c>
      <c r="B9" s="59">
        <v>7684.01</v>
      </c>
      <c r="C9" s="1"/>
      <c r="E9">
        <f t="shared" si="0"/>
        <v>6800.0088495575228</v>
      </c>
    </row>
    <row r="10" spans="1:5">
      <c r="A10" s="1" t="s">
        <v>9</v>
      </c>
      <c r="B10" s="61">
        <f>SUM(B3:B9)</f>
        <v>42262.04</v>
      </c>
      <c r="E10">
        <f>SUM(E3:E9)</f>
        <v>37400.035398230095</v>
      </c>
    </row>
    <row r="11" spans="1:5">
      <c r="A11" t="s">
        <v>5</v>
      </c>
      <c r="B11" s="3">
        <f>B10*C2</f>
        <v>3719.0595199999998</v>
      </c>
      <c r="E11" s="3">
        <f>B10-E10-B11</f>
        <v>1142.9450817699062</v>
      </c>
    </row>
    <row r="12" spans="1:5">
      <c r="A12" t="s">
        <v>6</v>
      </c>
      <c r="B12" s="3">
        <v>300</v>
      </c>
    </row>
    <row r="13" spans="1:5">
      <c r="A13" t="s">
        <v>7</v>
      </c>
      <c r="B13" s="5">
        <f>B11-B12</f>
        <v>3419.0595199999998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C14" sqref="C14"/>
    </sheetView>
  </sheetViews>
  <sheetFormatPr defaultRowHeight="14.4"/>
  <cols>
    <col min="1" max="1" width="25.5546875" customWidth="1"/>
    <col min="2" max="2" width="28.5546875" customWidth="1"/>
    <col min="3" max="3" width="13.44140625" customWidth="1"/>
    <col min="4" max="4" width="19.77734375" customWidth="1"/>
    <col min="5" max="5" width="12.6640625" customWidth="1"/>
  </cols>
  <sheetData>
    <row r="1" spans="1:5">
      <c r="A1" t="s">
        <v>0</v>
      </c>
      <c r="B1" t="s">
        <v>2</v>
      </c>
      <c r="C1" t="s">
        <v>3</v>
      </c>
      <c r="D1" t="s">
        <v>4</v>
      </c>
    </row>
    <row r="2" spans="1:5">
      <c r="A2" t="s">
        <v>110</v>
      </c>
      <c r="C2">
        <v>8.7999999999999995E-2</v>
      </c>
      <c r="D2">
        <v>0.01</v>
      </c>
    </row>
    <row r="3" spans="1:5">
      <c r="A3" s="1">
        <v>43442</v>
      </c>
      <c r="B3" s="59">
        <v>6771.53</v>
      </c>
      <c r="C3" s="31"/>
      <c r="E3">
        <f t="shared" ref="E3:E8" si="0">B3/1.13</f>
        <v>5992.5044247787609</v>
      </c>
    </row>
    <row r="4" spans="1:5">
      <c r="A4" s="1">
        <v>43091</v>
      </c>
      <c r="B4" s="59">
        <v>3601.88</v>
      </c>
      <c r="C4" s="1"/>
      <c r="E4">
        <f t="shared" si="0"/>
        <v>3187.5044247787614</v>
      </c>
    </row>
    <row r="5" spans="1:5">
      <c r="A5" s="1">
        <v>43105</v>
      </c>
      <c r="B5" s="59">
        <v>3601.88</v>
      </c>
      <c r="E5">
        <f t="shared" si="0"/>
        <v>3187.5044247787614</v>
      </c>
    </row>
    <row r="6" spans="1:5">
      <c r="A6" s="1">
        <v>43119</v>
      </c>
      <c r="B6" s="59">
        <v>6483.38</v>
      </c>
      <c r="C6" s="1"/>
      <c r="E6">
        <f t="shared" si="0"/>
        <v>5737.5044247787619</v>
      </c>
    </row>
    <row r="7" spans="1:5">
      <c r="A7" s="1">
        <v>43133</v>
      </c>
      <c r="B7" s="59">
        <v>13735.16</v>
      </c>
      <c r="C7" s="1"/>
      <c r="E7">
        <f t="shared" si="0"/>
        <v>12155.008849557524</v>
      </c>
    </row>
    <row r="8" spans="1:5">
      <c r="A8" s="1">
        <v>43147</v>
      </c>
      <c r="B8" s="59">
        <v>7203.75</v>
      </c>
      <c r="E8">
        <f t="shared" si="0"/>
        <v>6375.0000000000009</v>
      </c>
    </row>
    <row r="9" spans="1:5">
      <c r="A9" s="1" t="s">
        <v>9</v>
      </c>
      <c r="B9" s="61">
        <f>SUM(B3:B8)</f>
        <v>41397.58</v>
      </c>
      <c r="E9">
        <f>SUM(E3:E8)</f>
        <v>36635.026548672569</v>
      </c>
    </row>
    <row r="10" spans="1:5">
      <c r="A10" t="s">
        <v>5</v>
      </c>
      <c r="B10" s="3">
        <f>B9*C2</f>
        <v>3642.98704</v>
      </c>
      <c r="E10" s="3">
        <f>B9-E9-B10</f>
        <v>1119.5664113274324</v>
      </c>
    </row>
    <row r="11" spans="1:5">
      <c r="A11" t="s">
        <v>6</v>
      </c>
      <c r="B11" s="3"/>
    </row>
    <row r="12" spans="1:5">
      <c r="A12" t="s">
        <v>7</v>
      </c>
      <c r="B12" s="5">
        <f>B10-B11</f>
        <v>3642.98704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C12" sqref="C12"/>
    </sheetView>
  </sheetViews>
  <sheetFormatPr defaultRowHeight="14.4"/>
  <cols>
    <col min="1" max="1" width="25.5546875" customWidth="1"/>
    <col min="2" max="2" width="28.77734375" customWidth="1"/>
    <col min="3" max="3" width="12.77734375" customWidth="1"/>
    <col min="4" max="4" width="16.88671875" customWidth="1"/>
    <col min="5" max="5" width="12.6640625" customWidth="1"/>
  </cols>
  <sheetData>
    <row r="1" spans="1:5">
      <c r="A1" t="s">
        <v>0</v>
      </c>
      <c r="B1" t="s">
        <v>2</v>
      </c>
      <c r="C1" t="s">
        <v>3</v>
      </c>
      <c r="D1" t="s">
        <v>4</v>
      </c>
    </row>
    <row r="2" spans="1:5">
      <c r="A2" t="s">
        <v>117</v>
      </c>
      <c r="C2">
        <v>8.7999999999999995E-2</v>
      </c>
      <c r="D2">
        <v>0.01</v>
      </c>
    </row>
    <row r="3" spans="1:5">
      <c r="A3" s="1">
        <v>43161</v>
      </c>
      <c r="B3" s="59">
        <v>3601.88</v>
      </c>
      <c r="C3" s="31"/>
      <c r="E3">
        <f t="shared" ref="E3:E10" si="0">B3/1.13</f>
        <v>3187.5044247787614</v>
      </c>
    </row>
    <row r="4" spans="1:5">
      <c r="A4" s="1">
        <v>43162</v>
      </c>
      <c r="B4" s="59">
        <v>1440.75</v>
      </c>
      <c r="C4" s="1"/>
      <c r="E4">
        <f t="shared" si="0"/>
        <v>1275.0000000000002</v>
      </c>
    </row>
    <row r="5" spans="1:5">
      <c r="A5" s="1">
        <v>43175</v>
      </c>
      <c r="B5" s="59">
        <v>4322.25</v>
      </c>
      <c r="E5">
        <f t="shared" si="0"/>
        <v>3825.0000000000005</v>
      </c>
    </row>
    <row r="6" spans="1:5">
      <c r="A6" s="1">
        <v>43188</v>
      </c>
      <c r="B6" s="59">
        <v>7203.76</v>
      </c>
      <c r="C6" s="1"/>
      <c r="E6">
        <f t="shared" si="0"/>
        <v>6375.0088495575228</v>
      </c>
    </row>
    <row r="7" spans="1:5">
      <c r="A7" s="1">
        <v>43203</v>
      </c>
      <c r="B7" s="59">
        <v>8740.5499999999993</v>
      </c>
      <c r="C7" s="1"/>
      <c r="E7">
        <f t="shared" si="0"/>
        <v>7735</v>
      </c>
    </row>
    <row r="8" spans="1:5">
      <c r="A8" s="1">
        <v>43217</v>
      </c>
      <c r="B8" s="59">
        <v>7203.76</v>
      </c>
      <c r="E8">
        <f t="shared" si="0"/>
        <v>6375.0088495575228</v>
      </c>
    </row>
    <row r="9" spans="1:5">
      <c r="A9" s="1">
        <v>43231</v>
      </c>
      <c r="B9" s="59">
        <v>7395.86</v>
      </c>
      <c r="E9">
        <f t="shared" si="0"/>
        <v>6545.0088495575228</v>
      </c>
    </row>
    <row r="10" spans="1:5">
      <c r="A10" s="1">
        <v>43236</v>
      </c>
      <c r="B10" s="59">
        <v>2949.3</v>
      </c>
      <c r="E10">
        <f t="shared" si="0"/>
        <v>2610.0000000000005</v>
      </c>
    </row>
    <row r="12" spans="1:5">
      <c r="A12" s="1" t="s">
        <v>9</v>
      </c>
      <c r="B12" s="61">
        <f>SUM(B3:B10)</f>
        <v>42858.11</v>
      </c>
      <c r="E12">
        <f>SUM(E3:E10)</f>
        <v>37927.530973451328</v>
      </c>
    </row>
    <row r="13" spans="1:5">
      <c r="A13" t="s">
        <v>5</v>
      </c>
      <c r="B13" s="3">
        <f>B12*C2</f>
        <v>3771.51368</v>
      </c>
      <c r="E13" s="3">
        <f>B12-E12-B13</f>
        <v>1159.0653465486721</v>
      </c>
    </row>
    <row r="14" spans="1:5">
      <c r="A14" t="s">
        <v>6</v>
      </c>
      <c r="B14" s="3"/>
    </row>
    <row r="15" spans="1:5">
      <c r="A15" t="s">
        <v>7</v>
      </c>
      <c r="B15" s="5">
        <f>B13-B14</f>
        <v>3771.51368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C9" sqref="C9"/>
    </sheetView>
  </sheetViews>
  <sheetFormatPr defaultRowHeight="14.4"/>
  <cols>
    <col min="1" max="1" width="27" customWidth="1"/>
    <col min="2" max="2" width="28.77734375" customWidth="1"/>
    <col min="3" max="3" width="12.77734375" customWidth="1"/>
    <col min="4" max="4" width="16.88671875" customWidth="1"/>
    <col min="5" max="5" width="12.6640625" customWidth="1"/>
  </cols>
  <sheetData>
    <row r="1" spans="1:5">
      <c r="A1" t="s">
        <v>0</v>
      </c>
      <c r="B1" t="s">
        <v>2</v>
      </c>
      <c r="C1" t="s">
        <v>3</v>
      </c>
      <c r="D1" t="s">
        <v>4</v>
      </c>
    </row>
    <row r="2" spans="1:5">
      <c r="A2" t="s">
        <v>121</v>
      </c>
      <c r="C2">
        <v>8.7999999999999995E-2</v>
      </c>
      <c r="D2">
        <v>0.01</v>
      </c>
    </row>
    <row r="3" spans="1:5">
      <c r="A3" s="1">
        <v>43251</v>
      </c>
      <c r="B3" s="59">
        <v>7373.26</v>
      </c>
      <c r="E3">
        <f>B3/1.13</f>
        <v>6525.0088495575228</v>
      </c>
    </row>
    <row r="4" spans="1:5">
      <c r="A4" s="1">
        <v>43266</v>
      </c>
      <c r="B4" s="59">
        <v>6635.93</v>
      </c>
      <c r="C4" s="1"/>
      <c r="E4">
        <f t="shared" ref="E4:E8" si="0">B4/1.13</f>
        <v>5872.5044247787619</v>
      </c>
    </row>
    <row r="5" spans="1:5">
      <c r="A5" s="1">
        <v>43280</v>
      </c>
      <c r="B5" s="59">
        <v>7373.26</v>
      </c>
      <c r="E5">
        <f t="shared" si="0"/>
        <v>6525.0088495575228</v>
      </c>
    </row>
    <row r="6" spans="1:5">
      <c r="A6" s="1">
        <v>43297</v>
      </c>
      <c r="B6" s="59">
        <v>10322.549999999999</v>
      </c>
      <c r="C6" s="1"/>
      <c r="E6">
        <f t="shared" si="0"/>
        <v>9135</v>
      </c>
    </row>
    <row r="7" spans="1:5">
      <c r="A7" s="1">
        <v>43312</v>
      </c>
      <c r="B7" s="59">
        <v>7373.26</v>
      </c>
      <c r="C7" s="1"/>
      <c r="E7">
        <f t="shared" si="0"/>
        <v>6525.0088495575228</v>
      </c>
    </row>
    <row r="8" spans="1:5">
      <c r="A8" s="1">
        <v>43328</v>
      </c>
      <c r="B8" s="59">
        <v>7373.26</v>
      </c>
      <c r="E8">
        <f t="shared" si="0"/>
        <v>6525.0088495575228</v>
      </c>
    </row>
    <row r="9" spans="1:5">
      <c r="A9" s="1"/>
      <c r="B9" s="59"/>
    </row>
    <row r="10" spans="1:5">
      <c r="A10" s="1" t="s">
        <v>9</v>
      </c>
      <c r="B10" s="61">
        <f>SUM(B3:B9)</f>
        <v>46451.520000000004</v>
      </c>
      <c r="E10">
        <f>SUM(E3:E9)</f>
        <v>41107.539823008854</v>
      </c>
    </row>
    <row r="11" spans="1:5">
      <c r="A11" t="s">
        <v>5</v>
      </c>
      <c r="B11" s="3">
        <f>B10*C2</f>
        <v>4087.7337600000001</v>
      </c>
      <c r="E11" s="3">
        <f>B10-E10-B11</f>
        <v>1256.24641699115</v>
      </c>
    </row>
    <row r="12" spans="1:5">
      <c r="A12" t="s">
        <v>6</v>
      </c>
      <c r="B12" s="3"/>
    </row>
    <row r="13" spans="1:5">
      <c r="A13" t="s">
        <v>7</v>
      </c>
      <c r="B13" s="5">
        <f>B11-B12</f>
        <v>4087.7337600000001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B4" sqref="B4"/>
    </sheetView>
  </sheetViews>
  <sheetFormatPr defaultRowHeight="14.4"/>
  <cols>
    <col min="1" max="1" width="25.5546875" customWidth="1"/>
    <col min="2" max="2" width="28.21875" customWidth="1"/>
    <col min="3" max="3" width="14.33203125" customWidth="1"/>
    <col min="4" max="4" width="16.44140625" customWidth="1"/>
    <col min="5" max="5" width="12.6640625" customWidth="1"/>
  </cols>
  <sheetData>
    <row r="1" spans="1:5">
      <c r="A1" t="s">
        <v>0</v>
      </c>
      <c r="B1" t="s">
        <v>2</v>
      </c>
      <c r="C1" t="s">
        <v>3</v>
      </c>
      <c r="D1" t="s">
        <v>4</v>
      </c>
    </row>
    <row r="2" spans="1:5">
      <c r="A2" t="s">
        <v>122</v>
      </c>
      <c r="C2">
        <v>8.7999999999999995E-2</v>
      </c>
      <c r="D2">
        <v>0.01</v>
      </c>
    </row>
    <row r="3" spans="1:5">
      <c r="A3" s="1">
        <v>43343</v>
      </c>
      <c r="B3" s="59">
        <v>6635.93</v>
      </c>
      <c r="E3">
        <f>B3/1.13</f>
        <v>5872.5044247787619</v>
      </c>
    </row>
    <row r="4" spans="1:5">
      <c r="A4" s="1"/>
      <c r="B4" s="59"/>
      <c r="C4" s="31"/>
    </row>
    <row r="5" spans="1:5">
      <c r="A5" s="1"/>
      <c r="B5" s="59"/>
      <c r="C5" s="1"/>
    </row>
    <row r="6" spans="1:5">
      <c r="A6" s="1"/>
      <c r="B6" s="58"/>
    </row>
    <row r="7" spans="1:5">
      <c r="A7" s="1"/>
      <c r="B7" s="60"/>
      <c r="C7" s="1"/>
    </row>
    <row r="8" spans="1:5">
      <c r="A8" s="1"/>
      <c r="B8" s="59"/>
    </row>
    <row r="9" spans="1:5">
      <c r="A9" s="1"/>
      <c r="B9" s="59"/>
      <c r="C9" s="1"/>
    </row>
    <row r="10" spans="1:5">
      <c r="A10" s="1" t="s">
        <v>9</v>
      </c>
      <c r="B10" s="61">
        <f>SUM(B3:B9)</f>
        <v>6635.93</v>
      </c>
      <c r="E10">
        <f>SUM(E3:E9)</f>
        <v>5872.5044247787619</v>
      </c>
    </row>
    <row r="11" spans="1:5">
      <c r="A11" t="s">
        <v>5</v>
      </c>
      <c r="B11" s="3">
        <f>B10*C2</f>
        <v>583.96183999999994</v>
      </c>
      <c r="E11" s="3">
        <f>B10-E10-B11</f>
        <v>179.46373522123849</v>
      </c>
    </row>
    <row r="12" spans="1:5">
      <c r="A12" t="s">
        <v>6</v>
      </c>
      <c r="B12" s="3">
        <v>300</v>
      </c>
    </row>
    <row r="13" spans="1:5">
      <c r="A13" t="s">
        <v>7</v>
      </c>
      <c r="B13" s="5">
        <f>B11-B12</f>
        <v>283.96183999999994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9"/>
  <sheetViews>
    <sheetView topLeftCell="E46" workbookViewId="0">
      <selection activeCell="H70" sqref="H70"/>
    </sheetView>
  </sheetViews>
  <sheetFormatPr defaultRowHeight="14.4"/>
  <cols>
    <col min="1" max="1" width="20.88671875" customWidth="1"/>
    <col min="2" max="2" width="17.44140625" style="9" customWidth="1"/>
    <col min="3" max="3" width="15.33203125" customWidth="1"/>
    <col min="4" max="4" width="5.44140625" customWidth="1"/>
    <col min="5" max="5" width="14" customWidth="1"/>
    <col min="6" max="6" width="15" customWidth="1"/>
    <col min="7" max="7" width="6.44140625" customWidth="1"/>
    <col min="8" max="8" width="12.21875" customWidth="1"/>
    <col min="9" max="9" width="11" customWidth="1"/>
    <col min="10" max="10" width="13.77734375" customWidth="1"/>
    <col min="11" max="11" width="10.44140625" customWidth="1"/>
    <col min="12" max="12" width="6.21875" customWidth="1"/>
    <col min="14" max="14" width="10.109375" customWidth="1"/>
    <col min="15" max="15" width="15.6640625" customWidth="1"/>
  </cols>
  <sheetData>
    <row r="1" spans="1:20">
      <c r="A1" t="s">
        <v>12</v>
      </c>
      <c r="B1" s="9" t="s">
        <v>13</v>
      </c>
      <c r="C1" t="s">
        <v>14</v>
      </c>
      <c r="D1" t="s">
        <v>15</v>
      </c>
      <c r="E1" t="s">
        <v>16</v>
      </c>
      <c r="F1" t="s">
        <v>45</v>
      </c>
      <c r="H1" s="13" t="s">
        <v>46</v>
      </c>
      <c r="I1" s="14" t="s">
        <v>41</v>
      </c>
      <c r="J1" s="14" t="s">
        <v>42</v>
      </c>
      <c r="K1" s="14" t="s">
        <v>43</v>
      </c>
      <c r="L1" s="15"/>
      <c r="M1" t="s">
        <v>44</v>
      </c>
    </row>
    <row r="2" spans="1:20">
      <c r="A2" t="s">
        <v>30</v>
      </c>
      <c r="B2" s="9" t="s">
        <v>31</v>
      </c>
      <c r="C2" s="8">
        <v>5833.34</v>
      </c>
      <c r="D2">
        <v>2</v>
      </c>
      <c r="E2" t="s">
        <v>17</v>
      </c>
      <c r="F2" s="8">
        <v>1299.24</v>
      </c>
      <c r="H2" s="16">
        <v>2916.67</v>
      </c>
      <c r="I2" s="17">
        <v>2396.9899999999998</v>
      </c>
      <c r="J2" s="18">
        <v>389.74</v>
      </c>
      <c r="K2" s="18">
        <v>129.94</v>
      </c>
      <c r="L2" s="19"/>
      <c r="M2">
        <v>129.94</v>
      </c>
      <c r="O2" s="13">
        <v>2916.67</v>
      </c>
      <c r="P2" s="26">
        <v>2396.9899999999998</v>
      </c>
      <c r="Q2" s="14">
        <v>389.74</v>
      </c>
      <c r="R2" s="15">
        <v>129.94</v>
      </c>
      <c r="S2" s="15">
        <v>129.94</v>
      </c>
    </row>
    <row r="3" spans="1:20">
      <c r="A3" t="s">
        <v>32</v>
      </c>
      <c r="B3" s="9" t="s">
        <v>33</v>
      </c>
      <c r="C3" s="8">
        <v>5833.34</v>
      </c>
      <c r="D3">
        <v>2</v>
      </c>
      <c r="E3" t="s">
        <v>18</v>
      </c>
      <c r="F3" s="8">
        <v>1299.24</v>
      </c>
      <c r="H3" s="16">
        <v>2916.67</v>
      </c>
      <c r="I3" s="17">
        <v>2396.9899999999998</v>
      </c>
      <c r="J3" s="18">
        <v>389.74</v>
      </c>
      <c r="K3" s="18">
        <v>129.94</v>
      </c>
      <c r="L3" s="19"/>
      <c r="M3">
        <v>129.94</v>
      </c>
      <c r="O3" s="16">
        <v>2916.67</v>
      </c>
      <c r="P3" s="17">
        <v>2396.9899999999998</v>
      </c>
      <c r="Q3" s="18">
        <v>389.74</v>
      </c>
      <c r="R3" s="19">
        <v>129.94</v>
      </c>
      <c r="S3" s="19">
        <v>129.94</v>
      </c>
    </row>
    <row r="4" spans="1:20">
      <c r="A4" t="s">
        <v>32</v>
      </c>
      <c r="B4" s="9" t="s">
        <v>33</v>
      </c>
      <c r="C4" s="8">
        <v>5833.34</v>
      </c>
      <c r="D4">
        <v>2</v>
      </c>
      <c r="E4" t="s">
        <v>19</v>
      </c>
      <c r="F4" s="8">
        <v>1299.24</v>
      </c>
      <c r="H4" s="16">
        <v>2916.67</v>
      </c>
      <c r="I4" s="17">
        <v>2396.9899999999998</v>
      </c>
      <c r="J4" s="18">
        <v>389.74</v>
      </c>
      <c r="K4" s="18">
        <v>129.94</v>
      </c>
      <c r="L4" s="19"/>
      <c r="M4">
        <v>129.94</v>
      </c>
      <c r="O4" s="16">
        <v>2916.67</v>
      </c>
      <c r="P4" s="17">
        <v>2396.9899999999998</v>
      </c>
      <c r="Q4" s="18">
        <v>389.74</v>
      </c>
      <c r="R4" s="19">
        <v>129.94</v>
      </c>
      <c r="S4" s="19">
        <v>129.94</v>
      </c>
    </row>
    <row r="5" spans="1:20">
      <c r="A5" t="s">
        <v>30</v>
      </c>
      <c r="B5" s="9" t="s">
        <v>31</v>
      </c>
      <c r="C5" s="8">
        <v>2916.67</v>
      </c>
      <c r="D5">
        <v>1</v>
      </c>
      <c r="E5" t="s">
        <v>20</v>
      </c>
      <c r="F5" s="8">
        <v>649.62</v>
      </c>
      <c r="H5" s="16">
        <v>2916.67</v>
      </c>
      <c r="I5" s="17">
        <v>2396.9899999999998</v>
      </c>
      <c r="J5" s="18">
        <v>389.74</v>
      </c>
      <c r="K5" s="18">
        <v>129.94</v>
      </c>
      <c r="L5" s="19"/>
      <c r="M5">
        <v>129.94</v>
      </c>
      <c r="O5" s="16"/>
      <c r="P5" s="17"/>
      <c r="Q5" s="18"/>
      <c r="R5" s="19"/>
      <c r="S5" s="19"/>
    </row>
    <row r="6" spans="1:20">
      <c r="A6" t="s">
        <v>32</v>
      </c>
      <c r="B6" s="9" t="s">
        <v>33</v>
      </c>
      <c r="C6" s="8">
        <v>2916.67</v>
      </c>
      <c r="D6">
        <v>1</v>
      </c>
      <c r="E6" t="s">
        <v>21</v>
      </c>
      <c r="F6" s="8">
        <v>649.62</v>
      </c>
      <c r="H6" s="16">
        <v>2916.67</v>
      </c>
      <c r="I6" s="17">
        <v>2396.9899999999998</v>
      </c>
      <c r="J6" s="18">
        <v>389.74</v>
      </c>
      <c r="K6" s="18">
        <v>129.94</v>
      </c>
      <c r="L6" s="19"/>
      <c r="M6">
        <v>129.94</v>
      </c>
      <c r="O6" s="16"/>
      <c r="P6" s="17"/>
      <c r="Q6" s="18"/>
      <c r="R6" s="19"/>
      <c r="S6" s="19"/>
    </row>
    <row r="7" spans="1:20">
      <c r="A7" t="s">
        <v>34</v>
      </c>
      <c r="B7" s="9" t="s">
        <v>35</v>
      </c>
      <c r="C7" s="8">
        <v>2916</v>
      </c>
      <c r="D7">
        <v>2</v>
      </c>
      <c r="E7" t="s">
        <v>22</v>
      </c>
      <c r="F7" s="8">
        <v>507.92</v>
      </c>
      <c r="H7" s="16">
        <v>1458</v>
      </c>
      <c r="I7" s="17">
        <v>1320.67</v>
      </c>
      <c r="J7" s="18">
        <v>79.599999999999994</v>
      </c>
      <c r="K7" s="18">
        <v>57.73</v>
      </c>
      <c r="L7" s="19"/>
      <c r="M7">
        <v>57.73</v>
      </c>
      <c r="O7" s="16">
        <v>1458</v>
      </c>
      <c r="P7" s="17">
        <v>1320.67</v>
      </c>
      <c r="Q7" s="18">
        <v>79.599999999999994</v>
      </c>
      <c r="R7" s="19">
        <v>57.73</v>
      </c>
      <c r="S7" s="19">
        <v>57.73</v>
      </c>
    </row>
    <row r="8" spans="1:20">
      <c r="A8" t="s">
        <v>36</v>
      </c>
      <c r="B8" s="9" t="s">
        <v>37</v>
      </c>
      <c r="C8" s="8">
        <v>2916</v>
      </c>
      <c r="D8">
        <v>2</v>
      </c>
      <c r="E8" t="s">
        <v>23</v>
      </c>
      <c r="F8" s="8">
        <v>272.32</v>
      </c>
      <c r="H8" s="16">
        <v>1458</v>
      </c>
      <c r="I8" s="17">
        <v>1320.67</v>
      </c>
      <c r="J8" s="18">
        <v>79.599999999999994</v>
      </c>
      <c r="K8" s="18">
        <v>57.73</v>
      </c>
      <c r="L8" s="19"/>
      <c r="M8">
        <v>57.73</v>
      </c>
      <c r="O8" s="16">
        <v>1458</v>
      </c>
      <c r="P8" s="17">
        <v>1320.67</v>
      </c>
      <c r="Q8" s="18">
        <v>79.599999999999994</v>
      </c>
      <c r="R8" s="19">
        <v>57.73</v>
      </c>
      <c r="S8" s="19">
        <v>57.73</v>
      </c>
    </row>
    <row r="9" spans="1:20">
      <c r="A9" s="7" t="s">
        <v>38</v>
      </c>
      <c r="B9" s="9" t="s">
        <v>39</v>
      </c>
      <c r="C9" s="8">
        <v>2916</v>
      </c>
      <c r="D9">
        <v>2</v>
      </c>
      <c r="E9" t="s">
        <v>24</v>
      </c>
      <c r="F9" s="8">
        <v>390.12</v>
      </c>
      <c r="H9" s="16">
        <v>1458</v>
      </c>
      <c r="I9" s="17">
        <v>1320.67</v>
      </c>
      <c r="J9" s="18">
        <v>79.599999999999994</v>
      </c>
      <c r="K9" s="18">
        <v>57.73</v>
      </c>
      <c r="L9" s="19"/>
      <c r="M9">
        <v>57.73</v>
      </c>
      <c r="O9" s="16">
        <v>1458</v>
      </c>
      <c r="P9" s="17">
        <v>1320.67</v>
      </c>
      <c r="Q9" s="18">
        <v>79.599999999999994</v>
      </c>
      <c r="R9" s="19">
        <v>57.73</v>
      </c>
      <c r="S9" s="19">
        <v>57.73</v>
      </c>
    </row>
    <row r="10" spans="1:20">
      <c r="A10" s="10"/>
      <c r="B10" s="11"/>
      <c r="C10" s="12">
        <f>SUM(C2:C9)</f>
        <v>32081.360000000001</v>
      </c>
      <c r="D10" s="2"/>
      <c r="E10" s="2"/>
      <c r="F10" s="12">
        <f>SUM(F2:F9)</f>
        <v>6367.32</v>
      </c>
      <c r="G10" s="2"/>
      <c r="H10" s="20">
        <f>SUM(H2:H9)</f>
        <v>18957.349999999999</v>
      </c>
      <c r="I10" s="21">
        <f>SUM(I2:I9)</f>
        <v>15946.96</v>
      </c>
      <c r="J10" s="22">
        <f>SUM(J2:J9)</f>
        <v>2187.5</v>
      </c>
      <c r="K10" s="22">
        <f>SUM(K2:K9)</f>
        <v>822.8900000000001</v>
      </c>
      <c r="L10" s="23"/>
      <c r="M10" s="2">
        <f>SUM(M2:M9)</f>
        <v>822.8900000000001</v>
      </c>
      <c r="O10" s="20">
        <f>SUM(O2:O9)</f>
        <v>13124.01</v>
      </c>
      <c r="P10" s="21">
        <f>SUM(P2:P9)</f>
        <v>11152.98</v>
      </c>
      <c r="Q10" s="22">
        <f>SUM(Q2:Q9)</f>
        <v>1408.0199999999998</v>
      </c>
      <c r="R10" s="23">
        <f>SUM(R2:R9)</f>
        <v>563.01</v>
      </c>
      <c r="S10" s="23">
        <f>SUM(S2:S9)</f>
        <v>563.01</v>
      </c>
      <c r="T10" s="31">
        <f>SUM(I10:S10)</f>
        <v>46591.27</v>
      </c>
    </row>
    <row r="11" spans="1:20">
      <c r="A11" s="7" t="s">
        <v>40</v>
      </c>
      <c r="B11" s="9" t="s">
        <v>33</v>
      </c>
      <c r="C11" s="8">
        <v>2916</v>
      </c>
      <c r="D11">
        <v>2</v>
      </c>
      <c r="E11" t="s">
        <v>25</v>
      </c>
      <c r="F11" s="8">
        <v>390.12</v>
      </c>
      <c r="H11" s="16">
        <v>1458</v>
      </c>
      <c r="I11" s="17">
        <v>1320.67</v>
      </c>
      <c r="J11" s="18">
        <v>79.599999999999994</v>
      </c>
      <c r="K11" s="18">
        <v>57.73</v>
      </c>
      <c r="L11" s="19"/>
      <c r="M11">
        <v>57.73</v>
      </c>
      <c r="O11" s="16">
        <v>1458</v>
      </c>
      <c r="P11" s="17">
        <v>1320.67</v>
      </c>
      <c r="Q11" s="18">
        <v>79.599999999999994</v>
      </c>
      <c r="R11" s="19">
        <v>57.73</v>
      </c>
      <c r="S11" s="19">
        <v>57.73</v>
      </c>
    </row>
    <row r="12" spans="1:20">
      <c r="A12" t="s">
        <v>32</v>
      </c>
      <c r="B12" s="9" t="s">
        <v>31</v>
      </c>
      <c r="C12" s="8">
        <v>2916</v>
      </c>
      <c r="D12">
        <v>2</v>
      </c>
      <c r="E12" t="s">
        <v>26</v>
      </c>
      <c r="F12" s="8">
        <v>390.12</v>
      </c>
      <c r="H12" s="16">
        <v>1458</v>
      </c>
      <c r="I12" s="17">
        <v>1320.67</v>
      </c>
      <c r="J12" s="18">
        <v>79.599999999999994</v>
      </c>
      <c r="K12" s="18">
        <v>57.73</v>
      </c>
      <c r="L12" s="19"/>
      <c r="M12">
        <v>57.73</v>
      </c>
      <c r="O12" s="16">
        <v>1458</v>
      </c>
      <c r="P12" s="17">
        <v>1320.67</v>
      </c>
      <c r="Q12" s="18">
        <v>79.599999999999994</v>
      </c>
      <c r="R12" s="19">
        <v>57.73</v>
      </c>
      <c r="S12" s="19">
        <v>57.73</v>
      </c>
    </row>
    <row r="13" spans="1:20">
      <c r="A13" t="s">
        <v>32</v>
      </c>
      <c r="B13" s="9" t="s">
        <v>31</v>
      </c>
      <c r="C13" s="8">
        <v>2916</v>
      </c>
      <c r="D13">
        <v>2</v>
      </c>
      <c r="E13" t="s">
        <v>27</v>
      </c>
      <c r="F13" s="8">
        <v>390.12</v>
      </c>
      <c r="H13" s="16">
        <v>1458</v>
      </c>
      <c r="I13" s="17">
        <v>1320.67</v>
      </c>
      <c r="J13" s="18">
        <v>79.599999999999994</v>
      </c>
      <c r="K13" s="18">
        <v>57.73</v>
      </c>
      <c r="L13" s="19"/>
      <c r="M13">
        <v>57.73</v>
      </c>
      <c r="O13" s="16">
        <v>1458</v>
      </c>
      <c r="P13" s="17">
        <v>1320.67</v>
      </c>
      <c r="Q13" s="18">
        <v>79.599999999999994</v>
      </c>
      <c r="R13" s="19">
        <v>57.73</v>
      </c>
      <c r="S13" s="19">
        <v>57.73</v>
      </c>
    </row>
    <row r="14" spans="1:20">
      <c r="A14" t="s">
        <v>32</v>
      </c>
      <c r="B14" s="9" t="s">
        <v>31</v>
      </c>
      <c r="C14" s="8">
        <v>2916</v>
      </c>
      <c r="D14">
        <v>2</v>
      </c>
      <c r="E14" t="s">
        <v>28</v>
      </c>
      <c r="F14" s="8">
        <v>390.12</v>
      </c>
      <c r="H14" s="16">
        <v>1458</v>
      </c>
      <c r="I14" s="17">
        <v>1320.67</v>
      </c>
      <c r="J14" s="18">
        <v>79.599999999999994</v>
      </c>
      <c r="K14" s="18">
        <v>57.73</v>
      </c>
      <c r="L14" s="19"/>
      <c r="M14">
        <v>57.73</v>
      </c>
      <c r="O14" s="16">
        <v>1458</v>
      </c>
      <c r="P14" s="17">
        <v>1320.67</v>
      </c>
      <c r="Q14" s="18">
        <v>79.599999999999994</v>
      </c>
      <c r="R14" s="19">
        <v>57.73</v>
      </c>
      <c r="S14" s="19">
        <v>57.73</v>
      </c>
    </row>
    <row r="15" spans="1:20">
      <c r="A15" s="2"/>
      <c r="B15" s="11"/>
      <c r="C15" s="12"/>
      <c r="D15" s="2"/>
      <c r="E15" s="2"/>
      <c r="F15" s="12"/>
      <c r="G15" s="2"/>
      <c r="H15" s="46">
        <f>SUM(H10:H14)</f>
        <v>24789.35</v>
      </c>
      <c r="I15" s="24"/>
      <c r="J15" s="47">
        <f>SUM(J10:J14)</f>
        <v>2505.8999999999996</v>
      </c>
      <c r="K15" s="47">
        <f>SUM(K10:K14)</f>
        <v>1053.8100000000002</v>
      </c>
      <c r="L15" s="25"/>
      <c r="M15" s="25">
        <f>SUM(M10:M14)</f>
        <v>1053.8100000000002</v>
      </c>
      <c r="O15" s="46">
        <f>SUM(O10:O14)</f>
        <v>18956.010000000002</v>
      </c>
      <c r="P15" s="24"/>
      <c r="Q15" s="47">
        <f>SUM(Q10:Q14)</f>
        <v>1726.4199999999994</v>
      </c>
      <c r="R15" s="48">
        <f>SUM(R10:R14)</f>
        <v>793.93000000000006</v>
      </c>
    </row>
    <row r="16" spans="1:20" s="6" customFormat="1">
      <c r="B16" s="27"/>
      <c r="C16" s="28"/>
      <c r="F16" s="28"/>
      <c r="H16" s="29"/>
      <c r="I16" s="30"/>
      <c r="J16" s="29"/>
      <c r="K16" s="29"/>
      <c r="L16" s="30"/>
      <c r="O16" s="29"/>
      <c r="P16" s="30"/>
      <c r="Q16" s="29"/>
      <c r="R16" s="29"/>
    </row>
    <row r="17" spans="1:18" s="6" customFormat="1">
      <c r="B17" s="27"/>
      <c r="C17" s="28"/>
      <c r="F17" s="28"/>
      <c r="H17" s="29"/>
      <c r="I17" s="30"/>
      <c r="J17" s="29"/>
      <c r="K17" s="29"/>
      <c r="L17" s="30"/>
      <c r="O17" s="29"/>
      <c r="P17" s="30"/>
      <c r="Q17" s="29"/>
      <c r="R17" s="29"/>
    </row>
    <row r="18" spans="1:18">
      <c r="A18" t="s">
        <v>32</v>
      </c>
      <c r="B18" s="9" t="s">
        <v>48</v>
      </c>
      <c r="C18" s="8">
        <v>2916</v>
      </c>
      <c r="D18">
        <v>2</v>
      </c>
      <c r="E18" t="s">
        <v>29</v>
      </c>
      <c r="F18" s="8">
        <v>380.02</v>
      </c>
      <c r="H18">
        <v>1458</v>
      </c>
      <c r="I18">
        <v>1325.72</v>
      </c>
      <c r="J18">
        <v>74.55</v>
      </c>
      <c r="K18">
        <v>57.73</v>
      </c>
      <c r="M18">
        <v>57.73</v>
      </c>
      <c r="N18">
        <f>SUM(I18:M18)*2</f>
        <v>3031.46</v>
      </c>
    </row>
    <row r="19" spans="1:18">
      <c r="B19" s="9" t="s">
        <v>48</v>
      </c>
      <c r="C19" s="8">
        <v>2916</v>
      </c>
      <c r="D19">
        <v>2</v>
      </c>
      <c r="E19" t="s">
        <v>47</v>
      </c>
      <c r="F19" s="8">
        <v>380.02</v>
      </c>
      <c r="H19">
        <v>1458</v>
      </c>
      <c r="I19">
        <v>1325.72</v>
      </c>
      <c r="J19">
        <v>74.55</v>
      </c>
      <c r="K19">
        <v>57.73</v>
      </c>
      <c r="M19">
        <v>57.73</v>
      </c>
    </row>
    <row r="20" spans="1:18">
      <c r="B20" s="9" t="s">
        <v>48</v>
      </c>
      <c r="C20" s="8">
        <v>2916</v>
      </c>
      <c r="D20">
        <v>2</v>
      </c>
      <c r="E20" t="s">
        <v>50</v>
      </c>
      <c r="F20" s="8">
        <v>380.02</v>
      </c>
      <c r="H20">
        <v>1458</v>
      </c>
      <c r="I20">
        <v>1325.72</v>
      </c>
      <c r="J20">
        <v>74.55</v>
      </c>
      <c r="K20">
        <v>57.73</v>
      </c>
      <c r="M20">
        <v>57.73</v>
      </c>
    </row>
    <row r="21" spans="1:18">
      <c r="B21" s="9" t="s">
        <v>48</v>
      </c>
      <c r="C21" s="8">
        <v>2916</v>
      </c>
      <c r="D21">
        <v>2</v>
      </c>
      <c r="E21" t="s">
        <v>51</v>
      </c>
      <c r="F21" s="8">
        <v>380.02</v>
      </c>
      <c r="H21">
        <v>1458</v>
      </c>
      <c r="I21">
        <v>1325.72</v>
      </c>
      <c r="J21">
        <v>74.55</v>
      </c>
      <c r="K21">
        <v>57.73</v>
      </c>
      <c r="M21">
        <v>57.73</v>
      </c>
    </row>
    <row r="22" spans="1:18">
      <c r="B22" s="9" t="s">
        <v>48</v>
      </c>
      <c r="C22" s="8">
        <v>2916</v>
      </c>
      <c r="D22">
        <v>2</v>
      </c>
      <c r="E22" t="s">
        <v>52</v>
      </c>
      <c r="F22" s="8">
        <v>380.02</v>
      </c>
      <c r="H22">
        <v>1458</v>
      </c>
      <c r="I22">
        <v>1325.72</v>
      </c>
      <c r="J22">
        <v>74.55</v>
      </c>
      <c r="K22">
        <v>57.73</v>
      </c>
      <c r="M22">
        <v>57.73</v>
      </c>
    </row>
    <row r="23" spans="1:18">
      <c r="B23" s="9" t="s">
        <v>48</v>
      </c>
      <c r="C23" s="8">
        <v>2916</v>
      </c>
      <c r="D23">
        <v>2</v>
      </c>
      <c r="E23" t="s">
        <v>54</v>
      </c>
      <c r="F23" s="8">
        <v>380.02</v>
      </c>
      <c r="H23">
        <v>1458</v>
      </c>
      <c r="I23">
        <v>1325.72</v>
      </c>
      <c r="J23">
        <v>74.55</v>
      </c>
      <c r="K23">
        <v>57.73</v>
      </c>
      <c r="M23">
        <v>57.73</v>
      </c>
    </row>
    <row r="24" spans="1:18">
      <c r="B24" s="9" t="s">
        <v>48</v>
      </c>
      <c r="C24" s="8">
        <v>2916</v>
      </c>
      <c r="D24">
        <v>2</v>
      </c>
      <c r="E24" t="s">
        <v>57</v>
      </c>
      <c r="F24" s="8">
        <v>380.02</v>
      </c>
      <c r="H24">
        <v>1458</v>
      </c>
      <c r="I24">
        <v>1325.72</v>
      </c>
      <c r="J24">
        <v>74.55</v>
      </c>
      <c r="K24">
        <v>57.73</v>
      </c>
      <c r="M24">
        <v>57.73</v>
      </c>
    </row>
    <row r="25" spans="1:18">
      <c r="B25" s="9" t="s">
        <v>48</v>
      </c>
      <c r="C25" s="8">
        <v>2916</v>
      </c>
      <c r="D25">
        <v>2</v>
      </c>
      <c r="E25" t="s">
        <v>58</v>
      </c>
      <c r="F25" s="8">
        <v>380.02</v>
      </c>
      <c r="H25">
        <v>1458</v>
      </c>
      <c r="I25">
        <v>1325.72</v>
      </c>
      <c r="J25">
        <v>74.55</v>
      </c>
      <c r="K25">
        <v>57.73</v>
      </c>
      <c r="M25">
        <v>57.73</v>
      </c>
    </row>
    <row r="26" spans="1:18" ht="12" customHeight="1">
      <c r="B26" s="11"/>
      <c r="C26" s="12"/>
      <c r="D26" s="2"/>
      <c r="E26" s="2"/>
      <c r="F26" s="12"/>
      <c r="G26" s="2"/>
      <c r="H26" s="2"/>
      <c r="I26" s="2"/>
      <c r="J26" s="2"/>
      <c r="K26" s="2"/>
      <c r="L26" s="2"/>
      <c r="M26" s="2"/>
    </row>
    <row r="27" spans="1:18">
      <c r="B27" s="9" t="s">
        <v>48</v>
      </c>
      <c r="C27" s="8">
        <v>2916</v>
      </c>
      <c r="D27">
        <v>2</v>
      </c>
      <c r="E27" t="s">
        <v>59</v>
      </c>
      <c r="F27" s="8">
        <v>380.02</v>
      </c>
      <c r="H27">
        <v>1458</v>
      </c>
      <c r="I27">
        <v>1325.72</v>
      </c>
      <c r="J27">
        <v>74.55</v>
      </c>
      <c r="K27">
        <v>57.73</v>
      </c>
      <c r="M27">
        <v>57.73</v>
      </c>
    </row>
    <row r="28" spans="1:18">
      <c r="B28" s="9" t="s">
        <v>48</v>
      </c>
      <c r="C28" s="8">
        <v>2916</v>
      </c>
      <c r="D28">
        <v>2</v>
      </c>
      <c r="E28" t="s">
        <v>60</v>
      </c>
      <c r="F28" s="8">
        <v>380.02</v>
      </c>
      <c r="H28">
        <v>1458</v>
      </c>
      <c r="I28">
        <v>1325.72</v>
      </c>
      <c r="J28">
        <v>74.55</v>
      </c>
      <c r="K28">
        <v>57.73</v>
      </c>
      <c r="M28">
        <v>57.73</v>
      </c>
    </row>
    <row r="29" spans="1:18">
      <c r="B29" s="9" t="s">
        <v>48</v>
      </c>
      <c r="C29" s="8">
        <v>2916</v>
      </c>
      <c r="D29">
        <v>2</v>
      </c>
      <c r="E29" t="s">
        <v>61</v>
      </c>
      <c r="F29" s="8">
        <v>380.02</v>
      </c>
      <c r="H29">
        <v>1458</v>
      </c>
      <c r="I29">
        <v>1325.72</v>
      </c>
      <c r="J29">
        <v>74.55</v>
      </c>
      <c r="K29">
        <v>57.73</v>
      </c>
      <c r="M29">
        <v>57.73</v>
      </c>
    </row>
    <row r="30" spans="1:18">
      <c r="B30" s="9" t="s">
        <v>48</v>
      </c>
      <c r="C30" s="8">
        <v>2916</v>
      </c>
      <c r="D30">
        <v>2</v>
      </c>
      <c r="E30" t="s">
        <v>63</v>
      </c>
      <c r="F30" s="8">
        <v>380.02</v>
      </c>
      <c r="H30">
        <v>1458</v>
      </c>
      <c r="I30">
        <v>1325.72</v>
      </c>
      <c r="J30">
        <v>74.55</v>
      </c>
      <c r="K30">
        <v>57.73</v>
      </c>
      <c r="M30">
        <v>57.73</v>
      </c>
    </row>
    <row r="31" spans="1:18">
      <c r="C31" s="8"/>
      <c r="H31" s="45">
        <f>SUM(H18:H30)</f>
        <v>17496</v>
      </c>
      <c r="I31" s="2"/>
      <c r="J31" s="45">
        <f>SUM(J18:J30)</f>
        <v>894.5999999999998</v>
      </c>
      <c r="K31" s="45">
        <f>SUM(K18:K30)</f>
        <v>692.7600000000001</v>
      </c>
      <c r="L31" s="2"/>
      <c r="M31" s="2">
        <f>SUM(M18:M30)</f>
        <v>692.7600000000001</v>
      </c>
    </row>
    <row r="32" spans="1:18">
      <c r="H32">
        <v>17496</v>
      </c>
      <c r="J32">
        <v>894.6</v>
      </c>
      <c r="K32">
        <v>692.76</v>
      </c>
    </row>
    <row r="33" spans="2:14">
      <c r="H33">
        <f>SUM(H31:H32)</f>
        <v>34992</v>
      </c>
      <c r="J33">
        <f>SUM(J31:J32)</f>
        <v>1789.1999999999998</v>
      </c>
      <c r="K33">
        <f>SUM(K31:K32)</f>
        <v>1385.52</v>
      </c>
      <c r="L33">
        <v>1385.52</v>
      </c>
      <c r="M33">
        <f>SUM(J33:L33)</f>
        <v>4560.24</v>
      </c>
    </row>
    <row r="35" spans="2:14">
      <c r="B35" s="9" t="s">
        <v>48</v>
      </c>
      <c r="C35" s="8">
        <v>3000</v>
      </c>
      <c r="D35">
        <v>2</v>
      </c>
      <c r="E35" t="s">
        <v>78</v>
      </c>
      <c r="F35" s="8">
        <v>400.82</v>
      </c>
      <c r="H35">
        <v>1500</v>
      </c>
      <c r="I35">
        <v>1359.4</v>
      </c>
      <c r="J35">
        <v>80.790000000000006</v>
      </c>
      <c r="K35">
        <v>59.81</v>
      </c>
      <c r="M35">
        <v>59.81</v>
      </c>
      <c r="N35">
        <f>SUM(J35:M35)</f>
        <v>200.41000000000003</v>
      </c>
    </row>
    <row r="36" spans="2:14">
      <c r="B36" s="9" t="s">
        <v>48</v>
      </c>
      <c r="C36" s="8">
        <v>3000</v>
      </c>
      <c r="D36">
        <v>2</v>
      </c>
      <c r="E36" t="s">
        <v>79</v>
      </c>
      <c r="F36" s="8">
        <v>400.82</v>
      </c>
      <c r="H36">
        <v>1500</v>
      </c>
      <c r="I36">
        <v>1359.4</v>
      </c>
      <c r="J36">
        <v>80.790000000000006</v>
      </c>
      <c r="K36">
        <v>59.81</v>
      </c>
      <c r="M36">
        <v>59.81</v>
      </c>
    </row>
    <row r="37" spans="2:14">
      <c r="B37" s="9" t="s">
        <v>48</v>
      </c>
      <c r="C37" s="8">
        <v>3000</v>
      </c>
      <c r="D37">
        <v>2</v>
      </c>
      <c r="E37" t="s">
        <v>80</v>
      </c>
      <c r="F37" s="8">
        <v>400.82</v>
      </c>
      <c r="H37">
        <v>1500</v>
      </c>
      <c r="I37">
        <v>1359.4</v>
      </c>
      <c r="J37">
        <v>80.790000000000006</v>
      </c>
      <c r="K37">
        <v>59.81</v>
      </c>
      <c r="M37">
        <v>59.81</v>
      </c>
    </row>
    <row r="38" spans="2:14">
      <c r="B38" s="9" t="s">
        <v>48</v>
      </c>
      <c r="C38" s="8">
        <v>3000</v>
      </c>
      <c r="D38">
        <v>2</v>
      </c>
      <c r="E38" t="s">
        <v>81</v>
      </c>
      <c r="F38" s="8">
        <v>400.82</v>
      </c>
      <c r="H38">
        <v>1500</v>
      </c>
      <c r="I38">
        <v>1359.4</v>
      </c>
      <c r="J38">
        <v>80.790000000000006</v>
      </c>
      <c r="K38">
        <v>59.81</v>
      </c>
      <c r="M38">
        <v>59.81</v>
      </c>
    </row>
    <row r="39" spans="2:14">
      <c r="B39" s="9" t="s">
        <v>48</v>
      </c>
      <c r="C39" s="8">
        <v>3000</v>
      </c>
      <c r="D39">
        <v>2</v>
      </c>
      <c r="E39" t="s">
        <v>82</v>
      </c>
      <c r="F39" s="8">
        <v>400.82</v>
      </c>
      <c r="H39">
        <v>1500</v>
      </c>
      <c r="I39">
        <v>1359.4</v>
      </c>
      <c r="J39">
        <v>80.790000000000006</v>
      </c>
      <c r="K39">
        <v>59.81</v>
      </c>
      <c r="M39">
        <v>59.81</v>
      </c>
    </row>
    <row r="40" spans="2:14">
      <c r="B40" s="9" t="s">
        <v>48</v>
      </c>
      <c r="C40" s="8">
        <v>3000</v>
      </c>
      <c r="D40">
        <v>2</v>
      </c>
      <c r="E40" t="s">
        <v>83</v>
      </c>
      <c r="F40" s="8">
        <v>400.82</v>
      </c>
      <c r="H40">
        <v>1500</v>
      </c>
      <c r="I40">
        <v>1359.4</v>
      </c>
      <c r="J40">
        <v>80.790000000000006</v>
      </c>
      <c r="K40">
        <v>59.81</v>
      </c>
      <c r="M40">
        <v>59.81</v>
      </c>
    </row>
    <row r="41" spans="2:14">
      <c r="B41" s="9" t="s">
        <v>48</v>
      </c>
      <c r="C41" s="8">
        <v>3000</v>
      </c>
      <c r="D41">
        <v>2</v>
      </c>
      <c r="E41" t="s">
        <v>86</v>
      </c>
      <c r="F41" s="8">
        <v>400.82</v>
      </c>
      <c r="H41">
        <v>1500</v>
      </c>
      <c r="I41">
        <v>1359.4</v>
      </c>
      <c r="J41">
        <v>80.790000000000006</v>
      </c>
      <c r="K41">
        <v>59.81</v>
      </c>
      <c r="M41">
        <v>59.81</v>
      </c>
    </row>
    <row r="42" spans="2:14">
      <c r="B42" s="9" t="s">
        <v>48</v>
      </c>
      <c r="C42" s="8">
        <v>3000</v>
      </c>
      <c r="D42">
        <v>2</v>
      </c>
      <c r="E42" t="s">
        <v>87</v>
      </c>
      <c r="F42" s="8">
        <v>400.82</v>
      </c>
      <c r="H42">
        <v>1500</v>
      </c>
      <c r="I42">
        <v>1359.4</v>
      </c>
      <c r="J42">
        <v>80.790000000000006</v>
      </c>
      <c r="K42">
        <v>59.81</v>
      </c>
      <c r="M42">
        <v>59.81</v>
      </c>
    </row>
    <row r="43" spans="2:14">
      <c r="B43" s="11"/>
      <c r="C43" s="12"/>
      <c r="D43" s="2"/>
      <c r="E43" s="2"/>
      <c r="F43" s="12"/>
      <c r="G43" s="2"/>
      <c r="H43" s="2"/>
      <c r="I43" s="2"/>
      <c r="J43" s="2"/>
      <c r="K43" s="2"/>
      <c r="L43" s="2"/>
      <c r="M43" s="2"/>
    </row>
    <row r="44" spans="2:14">
      <c r="B44" s="9" t="s">
        <v>48</v>
      </c>
      <c r="C44" s="8">
        <v>3000</v>
      </c>
      <c r="D44">
        <v>2</v>
      </c>
      <c r="E44" t="s">
        <v>88</v>
      </c>
      <c r="F44" s="8">
        <v>400.82</v>
      </c>
      <c r="H44">
        <v>1500</v>
      </c>
      <c r="I44">
        <v>1359.4</v>
      </c>
      <c r="J44">
        <v>80.790000000000006</v>
      </c>
      <c r="K44">
        <v>59.81</v>
      </c>
      <c r="M44">
        <v>59.81</v>
      </c>
    </row>
    <row r="45" spans="2:14">
      <c r="B45" s="9" t="s">
        <v>48</v>
      </c>
      <c r="C45" s="8">
        <v>3000</v>
      </c>
      <c r="D45">
        <v>2</v>
      </c>
      <c r="E45" t="s">
        <v>90</v>
      </c>
      <c r="F45" s="8">
        <v>400.82</v>
      </c>
      <c r="H45">
        <v>1500</v>
      </c>
      <c r="I45">
        <v>1359.4</v>
      </c>
      <c r="J45">
        <v>80.790000000000006</v>
      </c>
      <c r="K45">
        <v>59.81</v>
      </c>
      <c r="M45">
        <v>59.81</v>
      </c>
    </row>
    <row r="46" spans="2:14">
      <c r="B46" s="9" t="s">
        <v>48</v>
      </c>
      <c r="C46" s="8">
        <v>3000</v>
      </c>
      <c r="D46">
        <v>2</v>
      </c>
      <c r="E46" t="s">
        <v>91</v>
      </c>
      <c r="F46" s="8">
        <v>400.82</v>
      </c>
      <c r="H46">
        <v>1500</v>
      </c>
      <c r="I46">
        <v>1359.4</v>
      </c>
      <c r="J46">
        <v>80.790000000000006</v>
      </c>
      <c r="K46">
        <v>59.81</v>
      </c>
      <c r="M46">
        <v>59.81</v>
      </c>
    </row>
    <row r="47" spans="2:14">
      <c r="B47" s="9" t="s">
        <v>48</v>
      </c>
      <c r="C47" s="8">
        <v>3000</v>
      </c>
      <c r="D47">
        <v>2</v>
      </c>
      <c r="E47" t="s">
        <v>92</v>
      </c>
      <c r="F47" s="8">
        <v>400.82</v>
      </c>
      <c r="H47">
        <v>1500</v>
      </c>
      <c r="I47">
        <v>1359.4</v>
      </c>
      <c r="J47">
        <v>80.790000000000006</v>
      </c>
      <c r="K47">
        <v>59.81</v>
      </c>
      <c r="M47">
        <v>59.81</v>
      </c>
    </row>
    <row r="48" spans="2:14">
      <c r="C48" s="8">
        <f>SUM(C35:C37)</f>
        <v>9000</v>
      </c>
      <c r="F48" s="8">
        <f>SUM(F35:F37)</f>
        <v>1202.46</v>
      </c>
      <c r="H48" s="45">
        <f>SUM(H35:H47)</f>
        <v>18000</v>
      </c>
      <c r="J48" s="45">
        <f>SUM(J35:J47)</f>
        <v>969.4799999999999</v>
      </c>
      <c r="K48" s="45">
        <f>SUM(K35:K47)</f>
        <v>717.7199999999998</v>
      </c>
      <c r="M48" s="45">
        <f>SUM(M35:M47)</f>
        <v>717.7199999999998</v>
      </c>
    </row>
    <row r="50" spans="2:15">
      <c r="B50" s="9" t="s">
        <v>48</v>
      </c>
      <c r="C50" s="8">
        <v>3000</v>
      </c>
      <c r="D50">
        <v>2</v>
      </c>
      <c r="E50" t="s">
        <v>94</v>
      </c>
      <c r="F50" s="8">
        <v>392.36</v>
      </c>
      <c r="H50">
        <v>1500</v>
      </c>
      <c r="I50">
        <v>1363.63</v>
      </c>
      <c r="J50">
        <v>76.56</v>
      </c>
      <c r="K50">
        <v>59.81</v>
      </c>
      <c r="M50">
        <v>59.81</v>
      </c>
      <c r="N50">
        <f>SUM(J50:M50)</f>
        <v>196.18</v>
      </c>
    </row>
    <row r="51" spans="2:15">
      <c r="B51" s="9" t="s">
        <v>48</v>
      </c>
      <c r="C51" s="8">
        <v>3000</v>
      </c>
      <c r="D51">
        <v>2</v>
      </c>
      <c r="E51" t="s">
        <v>95</v>
      </c>
      <c r="F51" s="8">
        <v>392.36</v>
      </c>
      <c r="H51">
        <v>1500</v>
      </c>
      <c r="I51">
        <v>1363.63</v>
      </c>
      <c r="J51">
        <v>76.56</v>
      </c>
      <c r="K51">
        <v>59.81</v>
      </c>
      <c r="M51">
        <v>59.81</v>
      </c>
    </row>
    <row r="52" spans="2:15">
      <c r="B52" s="9" t="s">
        <v>48</v>
      </c>
      <c r="C52" s="8">
        <v>3000</v>
      </c>
      <c r="D52">
        <v>2</v>
      </c>
      <c r="E52" t="s">
        <v>96</v>
      </c>
      <c r="F52" s="8">
        <v>392.36</v>
      </c>
      <c r="H52">
        <v>1500</v>
      </c>
      <c r="I52">
        <v>1363.63</v>
      </c>
      <c r="J52">
        <v>76.56</v>
      </c>
      <c r="K52">
        <v>59.81</v>
      </c>
      <c r="M52">
        <v>59.81</v>
      </c>
    </row>
    <row r="53" spans="2:15">
      <c r="B53" s="9" t="s">
        <v>48</v>
      </c>
      <c r="C53" s="8">
        <v>3000</v>
      </c>
      <c r="D53">
        <v>2</v>
      </c>
      <c r="E53" t="s">
        <v>97</v>
      </c>
      <c r="F53" s="8">
        <v>392.36</v>
      </c>
      <c r="H53">
        <v>1500</v>
      </c>
      <c r="I53">
        <v>1363.63</v>
      </c>
      <c r="J53">
        <v>76.56</v>
      </c>
      <c r="K53">
        <v>59.81</v>
      </c>
      <c r="M53">
        <v>59.81</v>
      </c>
      <c r="N53">
        <f>SUM(J53:M53)</f>
        <v>196.18</v>
      </c>
    </row>
    <row r="54" spans="2:15">
      <c r="B54" s="9" t="s">
        <v>48</v>
      </c>
      <c r="C54" s="8">
        <v>3000</v>
      </c>
      <c r="D54">
        <v>2</v>
      </c>
      <c r="E54" t="s">
        <v>98</v>
      </c>
      <c r="F54" s="8">
        <v>392.36</v>
      </c>
      <c r="H54">
        <v>1500</v>
      </c>
      <c r="I54">
        <v>1363.63</v>
      </c>
      <c r="J54">
        <v>76.56</v>
      </c>
      <c r="K54">
        <v>59.81</v>
      </c>
      <c r="M54">
        <v>59.81</v>
      </c>
    </row>
    <row r="55" spans="2:15">
      <c r="B55" s="9" t="s">
        <v>48</v>
      </c>
      <c r="C55" s="8">
        <v>3000</v>
      </c>
      <c r="D55">
        <v>2</v>
      </c>
      <c r="E55" t="s">
        <v>99</v>
      </c>
      <c r="F55" s="8">
        <v>392.36</v>
      </c>
      <c r="H55">
        <v>1500</v>
      </c>
      <c r="I55">
        <v>1363.63</v>
      </c>
      <c r="J55">
        <v>76.56</v>
      </c>
      <c r="K55">
        <v>59.81</v>
      </c>
      <c r="M55">
        <v>59.81</v>
      </c>
    </row>
    <row r="56" spans="2:15">
      <c r="C56" s="8"/>
      <c r="E56" t="s">
        <v>102</v>
      </c>
      <c r="F56" s="8">
        <v>392.36</v>
      </c>
      <c r="H56">
        <v>1500</v>
      </c>
      <c r="I56">
        <v>1363.63</v>
      </c>
      <c r="J56">
        <v>76.56</v>
      </c>
      <c r="K56">
        <v>59.81</v>
      </c>
      <c r="M56">
        <v>59.81</v>
      </c>
    </row>
    <row r="57" spans="2:15">
      <c r="C57" s="8"/>
      <c r="E57" t="s">
        <v>103</v>
      </c>
      <c r="F57" s="8">
        <v>392.36</v>
      </c>
      <c r="H57">
        <v>1500</v>
      </c>
      <c r="I57">
        <v>1363.63</v>
      </c>
      <c r="J57">
        <v>76.56</v>
      </c>
      <c r="K57">
        <v>59.81</v>
      </c>
      <c r="M57">
        <v>59.81</v>
      </c>
    </row>
    <row r="58" spans="2:15">
      <c r="C58" s="8"/>
      <c r="E58" t="s">
        <v>104</v>
      </c>
      <c r="F58" s="8">
        <v>392.36</v>
      </c>
      <c r="H58">
        <v>1500</v>
      </c>
      <c r="I58">
        <v>1363.63</v>
      </c>
      <c r="J58">
        <v>76.56</v>
      </c>
      <c r="K58">
        <v>59.81</v>
      </c>
      <c r="M58">
        <v>59.81</v>
      </c>
    </row>
    <row r="59" spans="2:15">
      <c r="C59" s="8"/>
      <c r="E59" t="s">
        <v>106</v>
      </c>
      <c r="F59" s="8">
        <v>392.36</v>
      </c>
      <c r="H59">
        <v>1500</v>
      </c>
      <c r="I59">
        <v>1363.63</v>
      </c>
      <c r="J59">
        <v>76.56</v>
      </c>
      <c r="K59">
        <v>59.81</v>
      </c>
      <c r="M59">
        <v>59.81</v>
      </c>
    </row>
    <row r="60" spans="2:15">
      <c r="C60" s="8"/>
      <c r="E60" t="s">
        <v>107</v>
      </c>
      <c r="F60" s="8">
        <v>392.36</v>
      </c>
      <c r="H60">
        <v>1500</v>
      </c>
      <c r="I60">
        <v>1363.63</v>
      </c>
      <c r="J60">
        <v>76.56</v>
      </c>
      <c r="K60">
        <v>59.81</v>
      </c>
      <c r="M60">
        <v>59.81</v>
      </c>
      <c r="O60">
        <f>1500*2*3</f>
        <v>9000</v>
      </c>
    </row>
    <row r="61" spans="2:15">
      <c r="C61" s="8"/>
      <c r="E61" t="s">
        <v>108</v>
      </c>
      <c r="F61" s="8">
        <v>392.36</v>
      </c>
      <c r="H61">
        <v>1500</v>
      </c>
      <c r="I61">
        <v>1363.63</v>
      </c>
      <c r="J61">
        <v>76.56</v>
      </c>
      <c r="K61">
        <v>59.81</v>
      </c>
      <c r="M61">
        <v>59.81</v>
      </c>
      <c r="O61">
        <f>I61*2</f>
        <v>2727.26</v>
      </c>
    </row>
    <row r="62" spans="2:15">
      <c r="C62" s="8">
        <v>9000</v>
      </c>
      <c r="F62" s="8">
        <f>SUM(F56:F58)</f>
        <v>1177.08</v>
      </c>
    </row>
    <row r="63" spans="2:15">
      <c r="E63" t="s">
        <v>109</v>
      </c>
      <c r="F63">
        <f t="shared" ref="F63:F68" si="0">N63*2</f>
        <v>481.05999999999995</v>
      </c>
      <c r="H63">
        <v>1645</v>
      </c>
      <c r="I63">
        <v>1471.46</v>
      </c>
      <c r="J63">
        <v>106.55</v>
      </c>
      <c r="K63">
        <v>66.989999999999995</v>
      </c>
      <c r="M63">
        <v>66.989999999999995</v>
      </c>
      <c r="N63">
        <f t="shared" ref="N63:N68" si="1">SUM(J63:M63)</f>
        <v>240.52999999999997</v>
      </c>
      <c r="O63" t="s">
        <v>113</v>
      </c>
    </row>
    <row r="64" spans="2:15">
      <c r="E64" t="s">
        <v>111</v>
      </c>
      <c r="F64">
        <f t="shared" si="0"/>
        <v>481.05999999999995</v>
      </c>
      <c r="H64">
        <v>1645</v>
      </c>
      <c r="I64">
        <v>1471.46</v>
      </c>
      <c r="J64">
        <v>106.55</v>
      </c>
      <c r="K64">
        <v>66.989999999999995</v>
      </c>
      <c r="M64">
        <v>66.989999999999995</v>
      </c>
      <c r="N64">
        <f t="shared" si="1"/>
        <v>240.52999999999997</v>
      </c>
      <c r="O64">
        <f>1645*2*3</f>
        <v>9870</v>
      </c>
    </row>
    <row r="65" spans="5:15">
      <c r="E65" t="s">
        <v>112</v>
      </c>
      <c r="F65">
        <f t="shared" si="0"/>
        <v>481.05999999999995</v>
      </c>
      <c r="H65">
        <v>1645</v>
      </c>
      <c r="I65">
        <v>1471.46</v>
      </c>
      <c r="J65">
        <v>106.55</v>
      </c>
      <c r="K65">
        <v>66.989999999999995</v>
      </c>
      <c r="M65">
        <v>66.989999999999995</v>
      </c>
      <c r="N65">
        <f t="shared" si="1"/>
        <v>240.52999999999997</v>
      </c>
    </row>
    <row r="66" spans="5:15">
      <c r="E66" t="s">
        <v>118</v>
      </c>
      <c r="F66">
        <f t="shared" si="0"/>
        <v>481.05999999999995</v>
      </c>
      <c r="H66">
        <v>1645</v>
      </c>
      <c r="I66">
        <v>1471.46</v>
      </c>
      <c r="J66">
        <v>106.55</v>
      </c>
      <c r="K66">
        <v>66.989999999999995</v>
      </c>
      <c r="M66">
        <v>66.989999999999995</v>
      </c>
      <c r="N66">
        <f t="shared" si="1"/>
        <v>240.52999999999997</v>
      </c>
    </row>
    <row r="67" spans="5:15">
      <c r="E67" t="s">
        <v>119</v>
      </c>
      <c r="F67">
        <f t="shared" si="0"/>
        <v>481.05999999999995</v>
      </c>
      <c r="H67">
        <v>1645</v>
      </c>
      <c r="I67">
        <v>1471.46</v>
      </c>
      <c r="J67">
        <v>106.55</v>
      </c>
      <c r="K67">
        <v>66.989999999999995</v>
      </c>
      <c r="M67">
        <v>66.989999999999995</v>
      </c>
      <c r="N67">
        <f t="shared" si="1"/>
        <v>240.52999999999997</v>
      </c>
    </row>
    <row r="68" spans="5:15">
      <c r="E68" t="s">
        <v>120</v>
      </c>
      <c r="F68">
        <f t="shared" si="0"/>
        <v>481.05999999999995</v>
      </c>
      <c r="H68">
        <v>1645</v>
      </c>
      <c r="I68">
        <v>1471.46</v>
      </c>
      <c r="J68">
        <v>106.55</v>
      </c>
      <c r="K68">
        <v>66.989999999999995</v>
      </c>
      <c r="M68">
        <v>66.989999999999995</v>
      </c>
      <c r="N68">
        <f t="shared" si="1"/>
        <v>240.52999999999997</v>
      </c>
    </row>
    <row r="69" spans="5:15">
      <c r="F69">
        <f>SUM(F63:F65)</f>
        <v>1443.1799999999998</v>
      </c>
      <c r="H69">
        <f>SUM(H63:H68)</f>
        <v>9870</v>
      </c>
      <c r="O69">
        <f>I63*2</f>
        <v>2942.92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sqref="A1:D10"/>
    </sheetView>
  </sheetViews>
  <sheetFormatPr defaultRowHeight="14.4"/>
  <cols>
    <col min="1" max="1" width="38.77734375" customWidth="1"/>
    <col min="2" max="2" width="13.77734375" customWidth="1"/>
    <col min="3" max="3" width="10.44140625" customWidth="1"/>
    <col min="4" max="4" width="9.44140625" customWidth="1"/>
  </cols>
  <sheetData>
    <row r="1" spans="1:4">
      <c r="B1">
        <v>2015</v>
      </c>
      <c r="C1">
        <v>2016</v>
      </c>
      <c r="D1">
        <v>2017</v>
      </c>
    </row>
    <row r="2" spans="1:4">
      <c r="A2" s="49" t="s">
        <v>64</v>
      </c>
    </row>
    <row r="3" spans="1:4">
      <c r="A3" s="16" t="s">
        <v>65</v>
      </c>
      <c r="C3">
        <v>2500</v>
      </c>
      <c r="D3">
        <v>2000</v>
      </c>
    </row>
    <row r="4" spans="1:4">
      <c r="A4" s="16" t="s">
        <v>66</v>
      </c>
      <c r="B4">
        <f>750*20%</f>
        <v>150</v>
      </c>
      <c r="C4">
        <v>0</v>
      </c>
    </row>
    <row r="5" spans="1:4">
      <c r="A5" s="16" t="s">
        <v>67</v>
      </c>
      <c r="B5">
        <v>4811.3999999999996</v>
      </c>
      <c r="C5">
        <v>3882.7</v>
      </c>
      <c r="D5">
        <v>4073.41</v>
      </c>
    </row>
    <row r="6" spans="1:4">
      <c r="A6" s="16" t="s">
        <v>68</v>
      </c>
      <c r="B6">
        <v>6779.02</v>
      </c>
      <c r="C6">
        <v>6218.62</v>
      </c>
      <c r="D6">
        <v>6491.96</v>
      </c>
    </row>
    <row r="7" spans="1:4">
      <c r="A7" t="s">
        <v>69</v>
      </c>
      <c r="B7">
        <v>344.46</v>
      </c>
      <c r="C7">
        <v>384</v>
      </c>
      <c r="D7">
        <v>462.12</v>
      </c>
    </row>
    <row r="8" spans="1:4">
      <c r="A8" t="s">
        <v>70</v>
      </c>
    </row>
    <row r="9" spans="1:4">
      <c r="A9" t="s">
        <v>71</v>
      </c>
      <c r="B9">
        <v>100</v>
      </c>
      <c r="C9">
        <v>500</v>
      </c>
      <c r="D9">
        <v>500</v>
      </c>
    </row>
    <row r="10" spans="1:4">
      <c r="B10">
        <f>SUM(B4:B9)</f>
        <v>12184.88</v>
      </c>
      <c r="C10">
        <f>SUM(C4:C9)</f>
        <v>10985.32</v>
      </c>
      <c r="D10">
        <f>SUM(D3:D9)</f>
        <v>13527.49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topLeftCell="A4" zoomScale="83" zoomScaleNormal="83" workbookViewId="0">
      <selection activeCell="A19" sqref="A19"/>
    </sheetView>
  </sheetViews>
  <sheetFormatPr defaultRowHeight="14.4"/>
  <cols>
    <col min="1" max="1" width="14.6640625" customWidth="1"/>
    <col min="2" max="2" width="10.6640625" customWidth="1"/>
    <col min="3" max="3" width="10.6640625" bestFit="1" customWidth="1"/>
    <col min="4" max="4" width="11.6640625" customWidth="1"/>
    <col min="5" max="5" width="10.6640625" bestFit="1" customWidth="1"/>
    <col min="6" max="6" width="14.44140625" customWidth="1"/>
    <col min="7" max="7" width="10.33203125" customWidth="1"/>
    <col min="8" max="8" width="10.88671875" customWidth="1"/>
    <col min="9" max="11" width="10.6640625" bestFit="1" customWidth="1"/>
    <col min="12" max="12" width="10.6640625" customWidth="1"/>
    <col min="13" max="13" width="12.88671875" customWidth="1"/>
    <col min="14" max="14" width="10.6640625" style="64" bestFit="1" customWidth="1"/>
    <col min="15" max="16" width="10.6640625" bestFit="1" customWidth="1"/>
    <col min="17" max="18" width="9.88671875" bestFit="1" customWidth="1"/>
  </cols>
  <sheetData>
    <row r="1" spans="1:19">
      <c r="A1" t="s">
        <v>72</v>
      </c>
      <c r="B1" s="51">
        <v>41985</v>
      </c>
      <c r="C1" s="51">
        <v>41955</v>
      </c>
      <c r="D1" s="51">
        <v>41924</v>
      </c>
      <c r="E1" s="51">
        <v>41894</v>
      </c>
    </row>
    <row r="2" spans="1:19">
      <c r="A2" t="s">
        <v>73</v>
      </c>
      <c r="B2" s="8">
        <v>852.5</v>
      </c>
      <c r="C2" s="8">
        <v>830.27</v>
      </c>
      <c r="D2" s="8">
        <v>849.4</v>
      </c>
      <c r="E2" s="8">
        <v>827.06</v>
      </c>
    </row>
    <row r="3" spans="1:19">
      <c r="A3" t="s">
        <v>74</v>
      </c>
      <c r="B3" s="8">
        <v>619.51</v>
      </c>
      <c r="C3" s="8">
        <v>641.74</v>
      </c>
      <c r="D3" s="8">
        <v>622.61</v>
      </c>
      <c r="E3" s="8">
        <v>644.95000000000005</v>
      </c>
      <c r="F3" s="8">
        <f>SUM(B3:E3)</f>
        <v>2528.8100000000004</v>
      </c>
    </row>
    <row r="4" spans="1:19">
      <c r="A4" t="s">
        <v>75</v>
      </c>
      <c r="B4" s="8">
        <v>1472.01</v>
      </c>
      <c r="C4" s="8">
        <v>1472.01</v>
      </c>
      <c r="D4" s="8">
        <v>1472.01</v>
      </c>
      <c r="E4" s="8">
        <v>1472.01</v>
      </c>
    </row>
    <row r="5" spans="1:19">
      <c r="B5" s="8"/>
      <c r="C5" s="8"/>
      <c r="D5" s="8"/>
      <c r="E5" s="8"/>
      <c r="F5" s="8"/>
    </row>
    <row r="6" spans="1:19">
      <c r="A6" t="s">
        <v>72</v>
      </c>
      <c r="B6" s="51">
        <v>42197</v>
      </c>
      <c r="C6" s="51">
        <v>42167</v>
      </c>
      <c r="D6" s="51">
        <v>42136</v>
      </c>
      <c r="E6" s="51">
        <v>42106</v>
      </c>
      <c r="F6" s="51">
        <v>42075</v>
      </c>
      <c r="G6" s="51">
        <v>42047</v>
      </c>
      <c r="H6" s="51">
        <v>42016</v>
      </c>
      <c r="I6" s="51">
        <v>42350</v>
      </c>
      <c r="J6" s="51">
        <v>42320</v>
      </c>
      <c r="K6" s="51">
        <v>42289</v>
      </c>
      <c r="L6" s="51">
        <v>42259</v>
      </c>
      <c r="M6" s="51">
        <v>42228</v>
      </c>
    </row>
    <row r="7" spans="1:19">
      <c r="A7" t="s">
        <v>73</v>
      </c>
      <c r="B7" s="8">
        <v>904.41</v>
      </c>
      <c r="C7" s="8">
        <v>883.91</v>
      </c>
      <c r="D7" s="8">
        <v>901.33</v>
      </c>
      <c r="E7" s="8">
        <v>880.73</v>
      </c>
      <c r="F7" s="8">
        <v>936.44</v>
      </c>
      <c r="G7" s="8">
        <v>855.62</v>
      </c>
      <c r="H7" s="8">
        <v>833.48</v>
      </c>
      <c r="I7" s="8">
        <v>952.39</v>
      </c>
      <c r="J7" s="8">
        <v>933.52</v>
      </c>
      <c r="K7" s="8">
        <v>949.37</v>
      </c>
      <c r="L7" s="8">
        <v>930.41</v>
      </c>
      <c r="M7" s="8">
        <v>923.49</v>
      </c>
      <c r="N7" s="65">
        <f>SUM(B7:M7)</f>
        <v>10885.1</v>
      </c>
    </row>
    <row r="8" spans="1:19">
      <c r="A8" t="s">
        <v>74</v>
      </c>
      <c r="B8" s="8">
        <v>567.6</v>
      </c>
      <c r="C8" s="8">
        <v>588.1</v>
      </c>
      <c r="D8" s="8">
        <v>570.67999999999995</v>
      </c>
      <c r="E8" s="8">
        <v>591.28</v>
      </c>
      <c r="F8" s="8">
        <v>535.57000000000005</v>
      </c>
      <c r="G8" s="8">
        <v>616.39</v>
      </c>
      <c r="H8" s="8">
        <v>638.53</v>
      </c>
      <c r="I8" s="8">
        <v>519.62</v>
      </c>
      <c r="J8" s="8">
        <v>538.49</v>
      </c>
      <c r="K8" s="8">
        <v>522.64</v>
      </c>
      <c r="L8" s="8">
        <v>541.6</v>
      </c>
      <c r="M8" s="8">
        <v>548.52</v>
      </c>
      <c r="N8" s="65">
        <f>SUM(B8:M8)</f>
        <v>6779.02</v>
      </c>
    </row>
    <row r="9" spans="1:19">
      <c r="A9" t="s">
        <v>75</v>
      </c>
      <c r="B9" s="8">
        <v>1472.01</v>
      </c>
      <c r="C9" s="8">
        <v>1472.01</v>
      </c>
      <c r="D9" s="8">
        <v>1472.01</v>
      </c>
      <c r="E9" s="8">
        <v>1472.01</v>
      </c>
      <c r="F9" s="8">
        <v>1472.01</v>
      </c>
      <c r="G9" s="8">
        <v>1472.01</v>
      </c>
      <c r="H9" s="8">
        <v>1472.01</v>
      </c>
      <c r="I9" s="8">
        <v>1472.01</v>
      </c>
      <c r="J9" s="8">
        <v>1472.01</v>
      </c>
      <c r="K9" s="8">
        <v>1472.01</v>
      </c>
      <c r="L9" s="8">
        <v>1472.01</v>
      </c>
      <c r="M9" s="8">
        <v>1472.01</v>
      </c>
    </row>
    <row r="10" spans="1:19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9">
      <c r="B11" s="12"/>
      <c r="C11" s="2"/>
      <c r="D11" s="12"/>
      <c r="E11" s="12"/>
      <c r="F11" s="2"/>
      <c r="G11" s="2"/>
      <c r="H11" s="2"/>
      <c r="I11" s="2"/>
      <c r="J11" s="2"/>
      <c r="K11" s="2"/>
      <c r="L11" s="2"/>
      <c r="M11" s="2"/>
    </row>
    <row r="12" spans="1:19" ht="15" thickBot="1">
      <c r="B12" s="52">
        <v>938.2</v>
      </c>
      <c r="C12" s="54">
        <v>936.65</v>
      </c>
      <c r="D12" s="52">
        <v>947.67</v>
      </c>
      <c r="E12" s="53">
        <v>963.04</v>
      </c>
      <c r="F12" s="53">
        <v>944.51</v>
      </c>
      <c r="G12" s="53">
        <v>959.99</v>
      </c>
      <c r="H12" s="53">
        <v>941.36</v>
      </c>
      <c r="I12" s="54">
        <v>974.09</v>
      </c>
      <c r="J12" s="52">
        <v>970.7</v>
      </c>
      <c r="K12" s="53">
        <v>952.42</v>
      </c>
      <c r="L12" s="53">
        <v>967.63</v>
      </c>
      <c r="M12" s="54">
        <v>949.24</v>
      </c>
      <c r="N12" s="66"/>
      <c r="Q12" s="53"/>
      <c r="R12" s="54"/>
    </row>
    <row r="13" spans="1:19" ht="15" thickBot="1">
      <c r="B13" s="57">
        <v>533.80999999999995</v>
      </c>
      <c r="C13" s="56">
        <v>535.36</v>
      </c>
      <c r="D13" s="52">
        <v>524.34</v>
      </c>
      <c r="E13" s="55">
        <v>508.97</v>
      </c>
      <c r="F13" s="55">
        <v>527.5</v>
      </c>
      <c r="G13" s="55">
        <v>512.02</v>
      </c>
      <c r="H13" s="55">
        <v>530.65</v>
      </c>
      <c r="I13" s="56">
        <v>497.92</v>
      </c>
      <c r="J13" s="52">
        <v>501.31</v>
      </c>
      <c r="K13" s="55">
        <v>519.59</v>
      </c>
      <c r="L13" s="55">
        <v>504.38</v>
      </c>
      <c r="M13" s="56">
        <v>522.77</v>
      </c>
      <c r="N13" s="67">
        <f>SUM(B13:M13)</f>
        <v>6218.6200000000008</v>
      </c>
      <c r="Q13" s="55"/>
      <c r="R13" s="55"/>
      <c r="S13" s="56"/>
    </row>
    <row r="15" spans="1:19">
      <c r="A15" t="s">
        <v>114</v>
      </c>
      <c r="B15" s="63">
        <v>43081</v>
      </c>
      <c r="C15" s="63">
        <v>43051</v>
      </c>
      <c r="D15" s="63">
        <v>43020</v>
      </c>
      <c r="E15" s="63">
        <v>42990</v>
      </c>
      <c r="F15" s="63">
        <v>42959</v>
      </c>
      <c r="G15" s="63">
        <v>42928</v>
      </c>
      <c r="H15" s="63">
        <v>42898</v>
      </c>
      <c r="I15" s="63">
        <v>42867</v>
      </c>
      <c r="J15" s="63">
        <v>42837</v>
      </c>
      <c r="K15" s="63">
        <v>42806</v>
      </c>
      <c r="L15" s="63">
        <v>42778</v>
      </c>
      <c r="M15" s="63">
        <v>42747</v>
      </c>
    </row>
    <row r="16" spans="1:19">
      <c r="A16" t="s">
        <v>115</v>
      </c>
      <c r="B16" s="62">
        <v>864.87</v>
      </c>
      <c r="C16" s="62">
        <v>842.88</v>
      </c>
      <c r="D16" s="62">
        <v>861.44</v>
      </c>
      <c r="E16" s="62">
        <v>893.39</v>
      </c>
      <c r="F16" s="62">
        <v>904.2</v>
      </c>
      <c r="G16" s="62">
        <v>981.59</v>
      </c>
      <c r="H16" s="62">
        <v>963.65</v>
      </c>
      <c r="I16" s="62">
        <v>978.48</v>
      </c>
      <c r="J16" s="62">
        <v>960.44</v>
      </c>
      <c r="K16" s="62">
        <v>1008.44</v>
      </c>
      <c r="L16" s="62">
        <v>957.18</v>
      </c>
      <c r="M16" s="62">
        <v>955.6</v>
      </c>
      <c r="N16" s="68">
        <f>SUM(B16:M16)</f>
        <v>11172.160000000002</v>
      </c>
    </row>
    <row r="17" spans="1:14">
      <c r="A17" t="s">
        <v>76</v>
      </c>
      <c r="B17" s="62">
        <v>607.14</v>
      </c>
      <c r="C17" s="62">
        <v>629.13</v>
      </c>
      <c r="D17" s="62">
        <v>610.57000000000005</v>
      </c>
      <c r="E17" s="62">
        <v>578.62</v>
      </c>
      <c r="F17" s="62">
        <v>567.80999999999995</v>
      </c>
      <c r="G17" s="62">
        <v>490.42</v>
      </c>
      <c r="H17" s="62">
        <v>508.36</v>
      </c>
      <c r="I17" s="62">
        <v>493.53</v>
      </c>
      <c r="J17" s="62">
        <v>511.57</v>
      </c>
      <c r="K17" s="62">
        <v>463.57</v>
      </c>
      <c r="L17" s="62">
        <v>514.83000000000004</v>
      </c>
      <c r="M17" s="62">
        <v>516.41</v>
      </c>
      <c r="N17" s="68">
        <f>SUM(B17:M17)</f>
        <v>6491.9599999999991</v>
      </c>
    </row>
    <row r="18" spans="1:14">
      <c r="A18" t="s">
        <v>116</v>
      </c>
      <c r="B18" s="62">
        <v>1472.01</v>
      </c>
      <c r="C18" s="62">
        <v>1472.01</v>
      </c>
      <c r="D18" s="62">
        <v>1472.01</v>
      </c>
      <c r="E18" s="62">
        <v>1472.01</v>
      </c>
      <c r="F18" s="62">
        <v>1472.01</v>
      </c>
      <c r="G18" s="62">
        <v>1472.01</v>
      </c>
      <c r="H18" s="62">
        <v>1472.01</v>
      </c>
      <c r="I18" s="62">
        <v>1472.01</v>
      </c>
      <c r="J18" s="62">
        <v>1472.01</v>
      </c>
      <c r="K18" s="62">
        <v>1472.01</v>
      </c>
      <c r="L18" s="62">
        <v>1472.01</v>
      </c>
      <c r="M18" s="62">
        <v>1472.01</v>
      </c>
      <c r="N18" s="68"/>
    </row>
    <row r="19" spans="1:14">
      <c r="B19" s="8"/>
      <c r="C19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q1-122013-022014</vt:lpstr>
      <vt:lpstr>q2-032014-052014</vt:lpstr>
      <vt:lpstr>q3-062014-082014</vt:lpstr>
      <vt:lpstr>q1-092014-112014</vt:lpstr>
      <vt:lpstr>q2-122014-022015</vt:lpstr>
      <vt:lpstr>q3-032015-052015 </vt:lpstr>
      <vt:lpstr>q4-062015-082015</vt:lpstr>
      <vt:lpstr>q1-092015-112015</vt:lpstr>
      <vt:lpstr>q2-122015-02016</vt:lpstr>
      <vt:lpstr>q3-032016-052016</vt:lpstr>
      <vt:lpstr>q4-062016-082016</vt:lpstr>
      <vt:lpstr>q1-092016-112016</vt:lpstr>
      <vt:lpstr>q2-12016-022017</vt:lpstr>
      <vt:lpstr>q3-032017-052017</vt:lpstr>
      <vt:lpstr>q4-062017-082017</vt:lpstr>
      <vt:lpstr>q1-092017-112017</vt:lpstr>
      <vt:lpstr>q2-122017-022018</vt:lpstr>
      <vt:lpstr>q3-032018-052018</vt:lpstr>
      <vt:lpstr>q4-062018-082018</vt:lpstr>
      <vt:lpstr>q1-092018-112018</vt:lpstr>
      <vt:lpstr>payroll</vt:lpstr>
      <vt:lpstr>lease_fees</vt:lpstr>
      <vt:lpstr>6jugstone_mortgage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cp:lastModifiedBy/>
  <dcterms:created xsi:type="dcterms:W3CDTF">2006-09-16T00:00:00Z</dcterms:created>
  <dcterms:modified xsi:type="dcterms:W3CDTF">2018-09-14T19:04:09Z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41b94447-b39b-432d-a649-96d6aa89946b</vt:lpwstr>
  </property>
  <property fmtid="{D5CDD505-2E9C-101B-9397-08002B2CF9AE}" pid="3" name="TDDCSClassification">
    <vt:lpwstr>Public</vt:lpwstr>
  </property>
  <property fmtid="{D5CDD505-2E9C-101B-9397-08002B2CF9AE}" pid="4" name="kjhasxiQ">
    <vt:lpwstr>Public</vt:lpwstr>
  </property>
</Properties>
</file>